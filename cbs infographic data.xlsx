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cbsims_utk_edu/Documents/Documents/Grants/Resilient Energy Economics/Final reporting/"/>
    </mc:Choice>
  </mc:AlternateContent>
  <xr:revisionPtr revIDLastSave="131" documentId="8_{E1C428CB-CDB4-4A6C-8483-C2743CFFC153}" xr6:coauthVersionLast="47" xr6:coauthVersionMax="47" xr10:uidLastSave="{35853E09-6D12-4191-B213-79C87ABD1E32}"/>
  <bookViews>
    <workbookView xWindow="-108" yWindow="-108" windowWidth="23256" windowHeight="14856" xr2:uid="{471B5B98-3E06-42A4-9BAC-0DB337780ED0}"/>
  </bookViews>
  <sheets>
    <sheet name="Active plants" sheetId="1" r:id="rId1"/>
    <sheet name="Switched to natural gas " sheetId="2" r:id="rId2"/>
    <sheet name="Retired plants" sheetId="4" r:id="rId3"/>
    <sheet name="Retired generator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2" i="3"/>
  <c r="K78" i="2" l="1"/>
  <c r="L78" i="2" s="1"/>
  <c r="K77" i="2"/>
  <c r="L77" i="2" s="1"/>
  <c r="K76" i="2"/>
  <c r="L76" i="2" s="1"/>
  <c r="K75" i="2"/>
  <c r="L75" i="2" s="1"/>
  <c r="K74" i="2"/>
  <c r="L74" i="2" s="1"/>
  <c r="K73" i="2"/>
  <c r="L73" i="2" s="1"/>
  <c r="K72" i="2"/>
  <c r="L72" i="2" s="1"/>
  <c r="K71" i="2"/>
  <c r="L71" i="2" s="1"/>
  <c r="K70" i="2"/>
  <c r="L70" i="2" s="1"/>
  <c r="K69" i="2"/>
  <c r="L69" i="2" s="1"/>
  <c r="K68" i="2"/>
  <c r="L68" i="2" s="1"/>
  <c r="K67" i="2"/>
  <c r="L67" i="2" s="1"/>
  <c r="K66" i="2"/>
  <c r="L66" i="2" s="1"/>
  <c r="K65" i="2"/>
  <c r="L65" i="2" s="1"/>
  <c r="K64" i="2"/>
  <c r="L64" i="2" s="1"/>
  <c r="K63" i="2"/>
  <c r="L63" i="2" s="1"/>
  <c r="K62" i="2"/>
  <c r="L62" i="2" s="1"/>
  <c r="K61" i="2"/>
  <c r="L61" i="2" s="1"/>
  <c r="K60" i="2"/>
  <c r="L60" i="2" s="1"/>
  <c r="K59" i="2"/>
  <c r="L59" i="2" s="1"/>
  <c r="K58" i="2"/>
  <c r="L58" i="2" s="1"/>
  <c r="K57" i="2"/>
  <c r="L57" i="2" s="1"/>
  <c r="K56" i="2"/>
  <c r="L56" i="2" s="1"/>
  <c r="K55" i="2"/>
  <c r="L55" i="2" s="1"/>
  <c r="K54" i="2"/>
  <c r="L54" i="2" s="1"/>
  <c r="K53" i="2"/>
  <c r="L53" i="2" s="1"/>
  <c r="K52" i="2"/>
  <c r="L52" i="2" s="1"/>
  <c r="K51" i="2"/>
  <c r="L51" i="2" s="1"/>
  <c r="K50" i="2"/>
  <c r="L50" i="2" s="1"/>
  <c r="K49" i="2"/>
  <c r="L49" i="2" s="1"/>
  <c r="K48" i="2"/>
  <c r="L48" i="2" s="1"/>
  <c r="K47" i="2"/>
  <c r="L47" i="2" s="1"/>
  <c r="K46" i="2"/>
  <c r="L46" i="2" s="1"/>
  <c r="K45" i="2"/>
  <c r="L45" i="2" s="1"/>
  <c r="K44" i="2"/>
  <c r="L44" i="2" s="1"/>
  <c r="K43" i="2"/>
  <c r="L43" i="2" s="1"/>
  <c r="K42" i="2"/>
  <c r="L42" i="2" s="1"/>
  <c r="K41" i="2"/>
  <c r="L41" i="2" s="1"/>
  <c r="K40" i="2"/>
  <c r="L40" i="2" s="1"/>
  <c r="K39" i="2"/>
  <c r="L39" i="2" s="1"/>
  <c r="K38" i="2"/>
  <c r="L38" i="2" s="1"/>
  <c r="K37" i="2"/>
  <c r="L37" i="2" s="1"/>
  <c r="K36" i="2"/>
  <c r="L36" i="2" s="1"/>
  <c r="K35" i="2"/>
  <c r="L35" i="2" s="1"/>
  <c r="K34" i="2"/>
  <c r="L34" i="2" s="1"/>
  <c r="K33" i="2"/>
  <c r="L33" i="2" s="1"/>
  <c r="K32" i="2"/>
  <c r="L32" i="2" s="1"/>
  <c r="K31" i="2"/>
  <c r="L31" i="2" s="1"/>
  <c r="K30" i="2"/>
  <c r="L30" i="2" s="1"/>
  <c r="K29" i="2"/>
  <c r="L29" i="2" s="1"/>
  <c r="K28" i="2"/>
  <c r="L28" i="2" s="1"/>
  <c r="K27" i="2"/>
  <c r="L27" i="2" s="1"/>
  <c r="K26" i="2"/>
  <c r="L26" i="2" s="1"/>
  <c r="K25" i="2"/>
  <c r="L25" i="2" s="1"/>
  <c r="K24" i="2"/>
  <c r="L24" i="2" s="1"/>
  <c r="K23" i="2"/>
  <c r="L23" i="2" s="1"/>
  <c r="K22" i="2"/>
  <c r="L22" i="2" s="1"/>
  <c r="K21" i="2"/>
  <c r="L21" i="2" s="1"/>
  <c r="K20" i="2"/>
  <c r="L20" i="2" s="1"/>
  <c r="K19" i="2"/>
  <c r="L19" i="2" s="1"/>
  <c r="K18" i="2"/>
  <c r="L18" i="2" s="1"/>
  <c r="K17" i="2"/>
  <c r="L17" i="2" s="1"/>
  <c r="K16" i="2"/>
  <c r="L16" i="2" s="1"/>
  <c r="K15" i="2"/>
  <c r="L15" i="2" s="1"/>
  <c r="K14" i="2"/>
  <c r="L14" i="2" s="1"/>
  <c r="K13" i="2"/>
  <c r="L13" i="2" s="1"/>
  <c r="K12" i="2"/>
  <c r="L12" i="2" s="1"/>
  <c r="K11" i="2"/>
  <c r="L11" i="2" s="1"/>
  <c r="K10" i="2"/>
  <c r="L10" i="2" s="1"/>
  <c r="K9" i="2"/>
  <c r="L9" i="2" s="1"/>
  <c r="K8" i="2"/>
  <c r="L8" i="2" s="1"/>
  <c r="K7" i="2"/>
  <c r="L7" i="2" s="1"/>
  <c r="K6" i="2"/>
  <c r="L6" i="2" s="1"/>
  <c r="K5" i="2"/>
  <c r="L5" i="2" s="1"/>
  <c r="K4" i="2"/>
  <c r="L4" i="2" s="1"/>
  <c r="K3" i="2"/>
  <c r="L3" i="2" s="1"/>
  <c r="K2" i="2"/>
  <c r="L2" i="2" s="1"/>
</calcChain>
</file>

<file path=xl/sharedStrings.xml><?xml version="1.0" encoding="utf-8"?>
<sst xmlns="http://schemas.openxmlformats.org/spreadsheetml/2006/main" count="1026" uniqueCount="468">
  <si>
    <t>plantcode</t>
  </si>
  <si>
    <t>plantname_gen</t>
  </si>
  <si>
    <t>total switching cost</t>
  </si>
  <si>
    <t>switching cost per MW</t>
  </si>
  <si>
    <t>coal fuel efficiency</t>
  </si>
  <si>
    <t>electricty price ($/MMBtu)</t>
  </si>
  <si>
    <t>coal price ($/MMBtu)</t>
  </si>
  <si>
    <t>year retired</t>
  </si>
  <si>
    <t>Barry</t>
  </si>
  <si>
    <t>Platte</t>
  </si>
  <si>
    <t>Whelan Energy Center</t>
  </si>
  <si>
    <t>Aurora Energy LLC Chena</t>
  </si>
  <si>
    <t>Holcomb</t>
  </si>
  <si>
    <t>Cholla</t>
  </si>
  <si>
    <t>Cross</t>
  </si>
  <si>
    <t>Seminole (FL)</t>
  </si>
  <si>
    <t>Apache Station</t>
  </si>
  <si>
    <t>GREC</t>
  </si>
  <si>
    <t>Limestone</t>
  </si>
  <si>
    <t>Comanche (CO)</t>
  </si>
  <si>
    <t>Hayden</t>
  </si>
  <si>
    <t>Stanton Energy Center</t>
  </si>
  <si>
    <t>Brandon Shores</t>
  </si>
  <si>
    <t>Crystal River</t>
  </si>
  <si>
    <t>Northside Generarting Station</t>
  </si>
  <si>
    <t>Bowen</t>
  </si>
  <si>
    <t>Kincaid Generation LLC</t>
  </si>
  <si>
    <t>Powerton</t>
  </si>
  <si>
    <t>Baldwin Energy Complex</t>
  </si>
  <si>
    <t>Dallman</t>
  </si>
  <si>
    <t>Marion</t>
  </si>
  <si>
    <t>Clifty Creek</t>
  </si>
  <si>
    <t>AES Petersburg</t>
  </si>
  <si>
    <t>Michigan City</t>
  </si>
  <si>
    <t>Cayuga</t>
  </si>
  <si>
    <t>Edwardsport</t>
  </si>
  <si>
    <t>F B Culley</t>
  </si>
  <si>
    <t>Whitewater Valley</t>
  </si>
  <si>
    <t>Lansing</t>
  </si>
  <si>
    <t>Prairie Creek</t>
  </si>
  <si>
    <t>Walter Scott Jr Energy Center</t>
  </si>
  <si>
    <t>George Neal North</t>
  </si>
  <si>
    <t>Muscatine Plant #1</t>
  </si>
  <si>
    <t>La Cygne</t>
  </si>
  <si>
    <t>Lawrence Energy Center</t>
  </si>
  <si>
    <t>E W Brown</t>
  </si>
  <si>
    <t>Ghent</t>
  </si>
  <si>
    <t>Mill Creek (KY)</t>
  </si>
  <si>
    <t>Shawnee</t>
  </si>
  <si>
    <t>Cooper</t>
  </si>
  <si>
    <t>R S Nelson</t>
  </si>
  <si>
    <t>Dan E Karn</t>
  </si>
  <si>
    <t>J H Campbell</t>
  </si>
  <si>
    <t>Clay Boswell</t>
  </si>
  <si>
    <t>Allen S King</t>
  </si>
  <si>
    <t>Hawthorn</t>
  </si>
  <si>
    <t>Labadie</t>
  </si>
  <si>
    <t>Sioux</t>
  </si>
  <si>
    <t>New Madrid</t>
  </si>
  <si>
    <t>Thomas Hill</t>
  </si>
  <si>
    <t>Lon Wright</t>
  </si>
  <si>
    <t>Sheldon</t>
  </si>
  <si>
    <t>North Omaha</t>
  </si>
  <si>
    <t>Merrimack</t>
  </si>
  <si>
    <t>Schiller</t>
  </si>
  <si>
    <t>Four Corners</t>
  </si>
  <si>
    <t>Roxboro</t>
  </si>
  <si>
    <t>G G Allen</t>
  </si>
  <si>
    <t>Marshall (NC)</t>
  </si>
  <si>
    <t>Leland Olds</t>
  </si>
  <si>
    <t>Milton R Young</t>
  </si>
  <si>
    <t>Cardinal</t>
  </si>
  <si>
    <t>Miami Fort</t>
  </si>
  <si>
    <t>FirstEnergy W H Sammis</t>
  </si>
  <si>
    <t>Kyger Creek</t>
  </si>
  <si>
    <t>Dover</t>
  </si>
  <si>
    <t>Orrville</t>
  </si>
  <si>
    <t>Painesville</t>
  </si>
  <si>
    <t>Muskogee</t>
  </si>
  <si>
    <t>Northeastern</t>
  </si>
  <si>
    <t>Conemaugh</t>
  </si>
  <si>
    <t>Homer City Generating Station</t>
  </si>
  <si>
    <t>Seward (PA)</t>
  </si>
  <si>
    <t>Keystone</t>
  </si>
  <si>
    <t>TalenEnergy Montour</t>
  </si>
  <si>
    <t>Wateree</t>
  </si>
  <si>
    <t>Williams</t>
  </si>
  <si>
    <t>Cumberland (TN)</t>
  </si>
  <si>
    <t>Gallatin (TN)</t>
  </si>
  <si>
    <t>Kingston</t>
  </si>
  <si>
    <t>W A Parish</t>
  </si>
  <si>
    <t>Chesterfield</t>
  </si>
  <si>
    <t>John E Amos</t>
  </si>
  <si>
    <t>FirstEnergy Fort Martin Power Station</t>
  </si>
  <si>
    <t>FirstEnergy Harrison Power Station</t>
  </si>
  <si>
    <t>Mitchell (WV)</t>
  </si>
  <si>
    <t>Mt Storm</t>
  </si>
  <si>
    <t>South Oak Creek</t>
  </si>
  <si>
    <t>Edgewater</t>
  </si>
  <si>
    <t>Weston</t>
  </si>
  <si>
    <t>Dave Johnston</t>
  </si>
  <si>
    <t>Naughton</t>
  </si>
  <si>
    <t>John P Madgett</t>
  </si>
  <si>
    <t>James H Miller Jr</t>
  </si>
  <si>
    <t>FirstEnergy Pleasants Power Station</t>
  </si>
  <si>
    <t>White Bluff</t>
  </si>
  <si>
    <t>Newton</t>
  </si>
  <si>
    <t>East Bend</t>
  </si>
  <si>
    <t>Craig (CO)</t>
  </si>
  <si>
    <t>Coal Creek</t>
  </si>
  <si>
    <t>Belle River</t>
  </si>
  <si>
    <t>H L Spurlock</t>
  </si>
  <si>
    <t>Big Cajun 2</t>
  </si>
  <si>
    <t>Nearman Creek</t>
  </si>
  <si>
    <t>Iatan</t>
  </si>
  <si>
    <t>Jeffrey Energy Center</t>
  </si>
  <si>
    <t>Trimble County</t>
  </si>
  <si>
    <t>Victor J Daniel Jr</t>
  </si>
  <si>
    <t>Colstrip</t>
  </si>
  <si>
    <t>Gerald Gentleman</t>
  </si>
  <si>
    <t>R M Schahfer</t>
  </si>
  <si>
    <t>Sherburne County</t>
  </si>
  <si>
    <t>Sooner</t>
  </si>
  <si>
    <t>Nebraska City</t>
  </si>
  <si>
    <t>Big Stone</t>
  </si>
  <si>
    <t>Wyodak</t>
  </si>
  <si>
    <t>Gibson</t>
  </si>
  <si>
    <t>A B Brown</t>
  </si>
  <si>
    <t>Flint Creek</t>
  </si>
  <si>
    <t>Welsh</t>
  </si>
  <si>
    <t>Martin Lake</t>
  </si>
  <si>
    <t>Rush Island</t>
  </si>
  <si>
    <t>Hunter</t>
  </si>
  <si>
    <t>Rockport</t>
  </si>
  <si>
    <t>Coronado</t>
  </si>
  <si>
    <t>Coleto Creek</t>
  </si>
  <si>
    <t>Fayette Power Project</t>
  </si>
  <si>
    <t>Oak Grove (TX)</t>
  </si>
  <si>
    <t>J T Deely</t>
  </si>
  <si>
    <t>Brame Energy Center</t>
  </si>
  <si>
    <t>Harrington</t>
  </si>
  <si>
    <t>Tolk</t>
  </si>
  <si>
    <t>John Twitty Energy Center</t>
  </si>
  <si>
    <t>Laramie River Station</t>
  </si>
  <si>
    <t>Merom</t>
  </si>
  <si>
    <t>Pawnee</t>
  </si>
  <si>
    <t>Winyah</t>
  </si>
  <si>
    <t>Mayo</t>
  </si>
  <si>
    <t>Ottumwa</t>
  </si>
  <si>
    <t>Scherer</t>
  </si>
  <si>
    <t>Mountaineer</t>
  </si>
  <si>
    <t>Healy</t>
  </si>
  <si>
    <t>Antelope Valley</t>
  </si>
  <si>
    <t>Intermountain Power Project</t>
  </si>
  <si>
    <t>R D Green</t>
  </si>
  <si>
    <t>Independence Steam Electric Station</t>
  </si>
  <si>
    <t>Louisa</t>
  </si>
  <si>
    <t>Warrick</t>
  </si>
  <si>
    <t>Rawhide</t>
  </si>
  <si>
    <t>Sikeston Power Station</t>
  </si>
  <si>
    <t>Hugo</t>
  </si>
  <si>
    <t>D B Wilson</t>
  </si>
  <si>
    <t>Major Oak Power</t>
  </si>
  <si>
    <t>J K Spruce</t>
  </si>
  <si>
    <t>Clover</t>
  </si>
  <si>
    <t>George Neal South</t>
  </si>
  <si>
    <t>Neil Simpson II</t>
  </si>
  <si>
    <t>Bonanza</t>
  </si>
  <si>
    <t>Pirkey</t>
  </si>
  <si>
    <t>Columbia (WI)</t>
  </si>
  <si>
    <t>Jim Bridger</t>
  </si>
  <si>
    <t>Huntington</t>
  </si>
  <si>
    <t>Gavin Power, LLC</t>
  </si>
  <si>
    <t>Ray D Nixon</t>
  </si>
  <si>
    <t>Coyote</t>
  </si>
  <si>
    <t>Springerville</t>
  </si>
  <si>
    <t>North Valmy</t>
  </si>
  <si>
    <t>John B Rich Memorial Power Station</t>
  </si>
  <si>
    <t>Colver Power Project</t>
  </si>
  <si>
    <t>Grant Town Power Plant</t>
  </si>
  <si>
    <t>Biron Mill</t>
  </si>
  <si>
    <t>Foster Wheeler Mt Carmel Cogen</t>
  </si>
  <si>
    <t>Ebensburg Power</t>
  </si>
  <si>
    <t>River Valley</t>
  </si>
  <si>
    <t>AES Warrior Run Cogeneration Facility</t>
  </si>
  <si>
    <t>Morgantown Energy Facility</t>
  </si>
  <si>
    <t>Colstrip Energy LP</t>
  </si>
  <si>
    <t>Silver Bay Power</t>
  </si>
  <si>
    <t>Archer Daniels Midland Clinton</t>
  </si>
  <si>
    <t>Archer Daniels Midland Cedar Rapids</t>
  </si>
  <si>
    <t>Archer Daniels Midland Decatur</t>
  </si>
  <si>
    <t>Utility Plants Section</t>
  </si>
  <si>
    <t>Eielson AFB Central Heat &amp; Power Plant</t>
  </si>
  <si>
    <t>Pixelle Specialty Solutions LLC - Spring Grove Facility</t>
  </si>
  <si>
    <t>Tennessee Eastman Operations</t>
  </si>
  <si>
    <t>Westwood Generation LLC</t>
  </si>
  <si>
    <t>University of Alaska Fairbanks</t>
  </si>
  <si>
    <t>Panther Creek Energy Facility</t>
  </si>
  <si>
    <t>TES Filer City Station</t>
  </si>
  <si>
    <t>Northampton Generating Company LP</t>
  </si>
  <si>
    <t>Covington Facility</t>
  </si>
  <si>
    <t>Rhinelander Mill</t>
  </si>
  <si>
    <t>Sunnyside Cogen Associates</t>
  </si>
  <si>
    <t>Scrubgrass Generating Plant</t>
  </si>
  <si>
    <t>Kaukauna Paper Mill</t>
  </si>
  <si>
    <t>American Crystal Sugar Hillsboro</t>
  </si>
  <si>
    <t>General Chemical</t>
  </si>
  <si>
    <t>St Nicholas Cogen Project</t>
  </si>
  <si>
    <t>Red Hills Generating Facility</t>
  </si>
  <si>
    <t>Wygen 1</t>
  </si>
  <si>
    <t>Hardin Generator Project</t>
  </si>
  <si>
    <t>Prairie State Generating Station</t>
  </si>
  <si>
    <t>Elm Road Generating Station</t>
  </si>
  <si>
    <t>TS Power Plant</t>
  </si>
  <si>
    <t>Wygen 2</t>
  </si>
  <si>
    <t>Plum Point Energy Station</t>
  </si>
  <si>
    <t>John W Turk Jr Power Plant</t>
  </si>
  <si>
    <t>Wygen III</t>
  </si>
  <si>
    <t>Dry Fork Station</t>
  </si>
  <si>
    <t>Sandy Creek Energy Station</t>
  </si>
  <si>
    <t>Longview Power Plant</t>
  </si>
  <si>
    <t>Spiritwood Station</t>
  </si>
  <si>
    <t>Virginia City Hybrid Energy Center</t>
  </si>
  <si>
    <t>Archer Daniels Midland Columbus</t>
  </si>
  <si>
    <t>Sidney MT Plant</t>
  </si>
  <si>
    <t>Genesis Alkali</t>
  </si>
  <si>
    <t>Switch to gas</t>
  </si>
  <si>
    <t>Switching decision sensitive to policy</t>
  </si>
  <si>
    <t>Don't switch to gas</t>
  </si>
  <si>
    <t>Total predicted retirement costs</t>
  </si>
  <si>
    <t>Gadsden</t>
  </si>
  <si>
    <t>Greene County</t>
  </si>
  <si>
    <t>E C Gaston</t>
  </si>
  <si>
    <t>H Wilson Sundt Generating Station</t>
  </si>
  <si>
    <t>Joliet 29</t>
  </si>
  <si>
    <t>Cherokee</t>
  </si>
  <si>
    <t>Martin Drake</t>
  </si>
  <si>
    <t>Deerhaven Generating Station</t>
  </si>
  <si>
    <t>Crisp Plant</t>
  </si>
  <si>
    <t>Joliet 9</t>
  </si>
  <si>
    <t>Harding Street</t>
  </si>
  <si>
    <t>CC Perry K</t>
  </si>
  <si>
    <t>Milton L Kapp</t>
  </si>
  <si>
    <t>Riverside</t>
  </si>
  <si>
    <t>Burlington (IA)</t>
  </si>
  <si>
    <t>Ames Electric Services Power Plant</t>
  </si>
  <si>
    <t>Streeter Station</t>
  </si>
  <si>
    <t>Earl F Wisdom</t>
  </si>
  <si>
    <t>Quindaro</t>
  </si>
  <si>
    <t>Big Sandy</t>
  </si>
  <si>
    <t>Wyandotte</t>
  </si>
  <si>
    <t>Syl Laskin</t>
  </si>
  <si>
    <t>Hibbing</t>
  </si>
  <si>
    <t>Virginia</t>
  </si>
  <si>
    <t>Willmar</t>
  </si>
  <si>
    <t>Blue Valley</t>
  </si>
  <si>
    <t>James E. Rogers Energy Complex</t>
  </si>
  <si>
    <t>Shawville</t>
  </si>
  <si>
    <t>New Castle Plant</t>
  </si>
  <si>
    <t>Brunner Island</t>
  </si>
  <si>
    <t>McMeekin</t>
  </si>
  <si>
    <t>Clinch River</t>
  </si>
  <si>
    <t>Bay Front</t>
  </si>
  <si>
    <t>Valley (WI)</t>
  </si>
  <si>
    <t>Cope</t>
  </si>
  <si>
    <t>Belews Creek</t>
  </si>
  <si>
    <t>Colorado Energy Nations Company</t>
  </si>
  <si>
    <t>White Pine Electric Power</t>
  </si>
  <si>
    <t>P H Glatfelter Co -Chillicothe Facility</t>
  </si>
  <si>
    <t>T B Simon Power Plant</t>
  </si>
  <si>
    <t>Green Bay West Mill</t>
  </si>
  <si>
    <t>Muskogee Mill</t>
  </si>
  <si>
    <t>Anheuser-Busch St Louis</t>
  </si>
  <si>
    <t>Rapids Energy Center</t>
  </si>
  <si>
    <t>Camden South Carolina</t>
  </si>
  <si>
    <t>Cargill Corn Milling Division</t>
  </si>
  <si>
    <t>Primient Decatur Plant Cogen</t>
  </si>
  <si>
    <t>Imperial Savannah LP</t>
  </si>
  <si>
    <t>Purdue University</t>
  </si>
  <si>
    <t>Park 500 Philip Morris USA</t>
  </si>
  <si>
    <t>University of Notre Dame</t>
  </si>
  <si>
    <t>Georgia-Pacific Corp - Nekoosa Mill</t>
  </si>
  <si>
    <t>International Paper Savanna Mill</t>
  </si>
  <si>
    <t>Chester Operations</t>
  </si>
  <si>
    <t>Procter &amp; Gamble Cincinnati Plant</t>
  </si>
  <si>
    <t>Packaging of America Tomahawk Mill</t>
  </si>
  <si>
    <t>Axiall Natrium Plant</t>
  </si>
  <si>
    <t>Radford Army Ammunition Plant</t>
  </si>
  <si>
    <t>Celanese Acetate LLC</t>
  </si>
  <si>
    <t>Iowa State University</t>
  </si>
  <si>
    <t>Univ of NC Chapel Hill Cogen Facility</t>
  </si>
  <si>
    <t>Morton Salt Rittman</t>
  </si>
  <si>
    <t>Ingredion Incorporated</t>
  </si>
  <si>
    <t>University of Iowa Main Power Plant</t>
  </si>
  <si>
    <t>University of Illinois Abbott Power Plt</t>
  </si>
  <si>
    <t>Tuscola Station</t>
  </si>
  <si>
    <t>PCA, Filer City Mill</t>
  </si>
  <si>
    <t>Grand Ave Plant</t>
  </si>
  <si>
    <t>Gulf Clean Energy Center</t>
  </si>
  <si>
    <t>Yates</t>
  </si>
  <si>
    <t>Cane Run</t>
  </si>
  <si>
    <t>Lake Road (MO)</t>
  </si>
  <si>
    <t>Danskammer Generating Station</t>
  </si>
  <si>
    <t>W S Lee</t>
  </si>
  <si>
    <t>Allen</t>
  </si>
  <si>
    <t>MU Combined Heat and Power Plant</t>
  </si>
  <si>
    <t>year switched</t>
  </si>
  <si>
    <t>retirement cost per MW</t>
  </si>
  <si>
    <t>generatorid</t>
  </si>
  <si>
    <t>Gorgas</t>
  </si>
  <si>
    <t>Colbert</t>
  </si>
  <si>
    <t>Widows Creek</t>
  </si>
  <si>
    <t>St Johns River Power Park</t>
  </si>
  <si>
    <t>Arapahoe</t>
  </si>
  <si>
    <t>Valmont</t>
  </si>
  <si>
    <t>South Plant</t>
  </si>
  <si>
    <t>Nucla</t>
  </si>
  <si>
    <t>Lansing Smith</t>
  </si>
  <si>
    <t>Hammond</t>
  </si>
  <si>
    <t>Harllee Branch</t>
  </si>
  <si>
    <t>Jack McDonough</t>
  </si>
  <si>
    <t>Kraft</t>
  </si>
  <si>
    <t>Coffeen</t>
  </si>
  <si>
    <t>Crawford</t>
  </si>
  <si>
    <t>Will County</t>
  </si>
  <si>
    <t>Fisk Street</t>
  </si>
  <si>
    <t>Havana</t>
  </si>
  <si>
    <t>Hennepin Power Station</t>
  </si>
  <si>
    <t>Vermilion</t>
  </si>
  <si>
    <t>Wood River</t>
  </si>
  <si>
    <t>Tanners Creek</t>
  </si>
  <si>
    <t>Eagle Valley (IN)</t>
  </si>
  <si>
    <t>Bailly</t>
  </si>
  <si>
    <t>R Gallagher</t>
  </si>
  <si>
    <t>Wabash River</t>
  </si>
  <si>
    <t>Frank E Ratts</t>
  </si>
  <si>
    <t>Tecumseh Energy Center</t>
  </si>
  <si>
    <t>Green River</t>
  </si>
  <si>
    <t>Paradise</t>
  </si>
  <si>
    <t>HMP&amp;L Station Two Henderson</t>
  </si>
  <si>
    <t>Dale</t>
  </si>
  <si>
    <t>B C Cobb</t>
  </si>
  <si>
    <t>J C Weadock</t>
  </si>
  <si>
    <t>J R Whiting</t>
  </si>
  <si>
    <t>Harbor Beach</t>
  </si>
  <si>
    <t>River Rouge</t>
  </si>
  <si>
    <t>St Clair</t>
  </si>
  <si>
    <t>Trenton Channel</t>
  </si>
  <si>
    <t>Presque Isle</t>
  </si>
  <si>
    <t>Eckert Station</t>
  </si>
  <si>
    <t>Black Dog</t>
  </si>
  <si>
    <t>Asbury</t>
  </si>
  <si>
    <t>Montrose</t>
  </si>
  <si>
    <t>Sibley</t>
  </si>
  <si>
    <t>James River Power Station</t>
  </si>
  <si>
    <t>J E Corette Plant</t>
  </si>
  <si>
    <t>Reid Gardner</t>
  </si>
  <si>
    <t>San Juan</t>
  </si>
  <si>
    <t>Greenidge Generation LLC</t>
  </si>
  <si>
    <t>Rochester 7</t>
  </si>
  <si>
    <t>Cape Fear</t>
  </si>
  <si>
    <t>HF Lee Plant</t>
  </si>
  <si>
    <t>L V Sutton Steam</t>
  </si>
  <si>
    <t>W H Weatherspoon</t>
  </si>
  <si>
    <t>Buck</t>
  </si>
  <si>
    <t>Riverbend</t>
  </si>
  <si>
    <t>Stanton</t>
  </si>
  <si>
    <t>Walter C Beckjord</t>
  </si>
  <si>
    <t>O H Hutchings</t>
  </si>
  <si>
    <t>Niles Power Plant</t>
  </si>
  <si>
    <t>FirstEnergy Bay Shore</t>
  </si>
  <si>
    <t>Portland (PA)</t>
  </si>
  <si>
    <t>Titus</t>
  </si>
  <si>
    <t>Sunbury Generation LP</t>
  </si>
  <si>
    <t>Cromby Generating Station</t>
  </si>
  <si>
    <t>Eddystone Generating Station</t>
  </si>
  <si>
    <t>H B Robinson</t>
  </si>
  <si>
    <t>Canadys Steam</t>
  </si>
  <si>
    <t>Dolphus M Grainger</t>
  </si>
  <si>
    <t>Jefferies</t>
  </si>
  <si>
    <t>John Sevier</t>
  </si>
  <si>
    <t>Johnsonville</t>
  </si>
  <si>
    <t>Big Brown</t>
  </si>
  <si>
    <t>Carbon</t>
  </si>
  <si>
    <t>Glen Lyn</t>
  </si>
  <si>
    <t>Chesapeake</t>
  </si>
  <si>
    <t>Yorktown</t>
  </si>
  <si>
    <t>Blount Street</t>
  </si>
  <si>
    <t>Nelson Dewey Generating Station</t>
  </si>
  <si>
    <t>Pulliam</t>
  </si>
  <si>
    <t>Alma</t>
  </si>
  <si>
    <t>Navajo</t>
  </si>
  <si>
    <t>R D Morrow</t>
  </si>
  <si>
    <t>McIntosh</t>
  </si>
  <si>
    <t>Monticello</t>
  </si>
  <si>
    <t>Pleasant Prairie</t>
  </si>
  <si>
    <t>Sandow No 4</t>
  </si>
  <si>
    <t>Richard Gorsuch</t>
  </si>
  <si>
    <t>Taconite Harbor Energy Center</t>
  </si>
  <si>
    <t>Consumer Operations LLC</t>
  </si>
  <si>
    <t>Mecklenburg Power Station</t>
  </si>
  <si>
    <t>Sandow No 5</t>
  </si>
  <si>
    <t>Kennecott Power Plant</t>
  </si>
  <si>
    <t>ST4</t>
  </si>
  <si>
    <t>ST1</t>
  </si>
  <si>
    <t>3HS</t>
  </si>
  <si>
    <t>ST2</t>
  </si>
  <si>
    <t>NAV1</t>
  </si>
  <si>
    <t>NAV2</t>
  </si>
  <si>
    <t>NAV3</t>
  </si>
  <si>
    <t>GEN3</t>
  </si>
  <si>
    <t>GEN10</t>
  </si>
  <si>
    <t>GEN5</t>
  </si>
  <si>
    <t>GEN1</t>
  </si>
  <si>
    <t>GEN2</t>
  </si>
  <si>
    <t>GEN4</t>
  </si>
  <si>
    <t>coal price ($/MMBtu) - this is Fbar from the retirement model</t>
  </si>
  <si>
    <t>coal quantity - this is q_lkc from the retirement model</t>
  </si>
  <si>
    <t>quantity electricity produced - I don't calculate this for the retirement model. Instead, I run a regression of electricity price vs quantity of electricity produced and get a coefficient for this type of thing</t>
  </si>
  <si>
    <t>coal fuel efficiency - this is bq_f from the retirement model</t>
  </si>
  <si>
    <t>coal fuel efficiency - this is bq_f from the retirement model INVERSE</t>
  </si>
  <si>
    <t>electricty price ($/MMBtu) - this is Ebar from the retirement model</t>
  </si>
  <si>
    <t>total retirement cost - this is k from the retirement model</t>
  </si>
  <si>
    <t>coal_capacity_yr_before_switch - I assume you want the coal capacity of the generator that retired here - nameplate capacity (MW)</t>
  </si>
  <si>
    <t>2015-2015</t>
  </si>
  <si>
    <t>2015-2019</t>
  </si>
  <si>
    <t>2016-2016</t>
  </si>
  <si>
    <t>2013-2015</t>
  </si>
  <si>
    <t>2018-2018</t>
  </si>
  <si>
    <t>2013-2013</t>
  </si>
  <si>
    <t>2011-2015</t>
  </si>
  <si>
    <t>2017-2017</t>
  </si>
  <si>
    <t>2019-2019</t>
  </si>
  <si>
    <t>2011-2012</t>
  </si>
  <si>
    <t>2012-2012</t>
  </si>
  <si>
    <t>2010-2015</t>
  </si>
  <si>
    <t>2011-2011</t>
  </si>
  <si>
    <t>2015-2018</t>
  </si>
  <si>
    <t>2014-2014</t>
  </si>
  <si>
    <t>2015-2016</t>
  </si>
  <si>
    <t>2017-2019</t>
  </si>
  <si>
    <t>2009-2019</t>
  </si>
  <si>
    <t>2014-2015</t>
  </si>
  <si>
    <t>2016-2018</t>
  </si>
  <si>
    <t>2017-2018</t>
  </si>
  <si>
    <t>2014-2017</t>
  </si>
  <si>
    <t>2009-2009</t>
  </si>
  <si>
    <t>2008-2008</t>
  </si>
  <si>
    <t>2011-2013</t>
  </si>
  <si>
    <t>2012-2014</t>
  </si>
  <si>
    <t>2012-2013</t>
  </si>
  <si>
    <t>2015-2017</t>
  </si>
  <si>
    <t>2010-2010</t>
  </si>
  <si>
    <t>2016-2019</t>
  </si>
  <si>
    <t>plant sum coal capacity - nameplate capacity (MW)</t>
  </si>
  <si>
    <t>plant total retirement cost - this is k from the retirement model summed at the plant level</t>
  </si>
  <si>
    <t>range of year retired - range is based on min-max year generators at the plant retired</t>
  </si>
  <si>
    <t>&gt;25</t>
  </si>
  <si>
    <t>0-2</t>
  </si>
  <si>
    <t>10-25</t>
  </si>
  <si>
    <t>2-10</t>
  </si>
  <si>
    <t>102-5</t>
  </si>
  <si>
    <t>Predicted time to retirement (years)</t>
  </si>
  <si>
    <t>coal_capacity (MW)</t>
  </si>
  <si>
    <t>natural gas price ($/MMBtu)</t>
  </si>
  <si>
    <t>quantity electricity produced (MMBtu)</t>
  </si>
  <si>
    <t>coal quantity (MMBtu)</t>
  </si>
  <si>
    <t>previous coal_capacity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</si>
</sst>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wrapText="1"/>
    </xf>
    <xf numFmtId="11" fontId="0" fillId="0" borderId="0" xfId="0" applyNumberFormat="1"/>
    <xf numFmtId="44" fontId="0" fillId="0" borderId="0" xfId="1" applyFont="1"/>
    <xf numFmtId="0" fontId="0" fillId="0" borderId="0" xfId="0" applyNumberFormat="1"/>
    <xf numFmtId="49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24F3-4E86-4C27-B2D3-73EF7D5C8491}">
  <dimension ref="A1:P229"/>
  <sheetViews>
    <sheetView tabSelected="1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D5" sqref="D5"/>
    </sheetView>
  </sheetViews>
  <sheetFormatPr defaultRowHeight="14.4" x14ac:dyDescent="0.3"/>
  <cols>
    <col min="1" max="1" width="9" bestFit="1" customWidth="1"/>
    <col min="2" max="2" width="13.33203125" bestFit="1" customWidth="1"/>
    <col min="3" max="3" width="17.6640625" bestFit="1" customWidth="1"/>
    <col min="5" max="5" width="21.88671875" bestFit="1" customWidth="1"/>
    <col min="6" max="6" width="23.88671875" bestFit="1" customWidth="1"/>
    <col min="7" max="7" width="16" bestFit="1" customWidth="1"/>
    <col min="8" max="8" width="22.33203125" bestFit="1" customWidth="1"/>
    <col min="9" max="9" width="26.6640625" bestFit="1" customWidth="1"/>
    <col min="10" max="10" width="16.33203125" bestFit="1" customWidth="1"/>
    <col min="11" max="11" width="19" bestFit="1" customWidth="1"/>
    <col min="13" max="13" width="30.5546875" bestFit="1" customWidth="1"/>
    <col min="14" max="14" width="15.6640625" bestFit="1" customWidth="1"/>
    <col min="15" max="15" width="26.6640625" bestFit="1" customWidth="1"/>
    <col min="16" max="16" width="23.6640625" bestFit="1" customWidth="1"/>
  </cols>
  <sheetData>
    <row r="1" spans="1:16" x14ac:dyDescent="0.3">
      <c r="A1" t="s">
        <v>0</v>
      </c>
      <c r="B1" t="s">
        <v>1</v>
      </c>
      <c r="C1" t="s">
        <v>6</v>
      </c>
      <c r="D1" t="s">
        <v>466</v>
      </c>
      <c r="E1" t="s">
        <v>5</v>
      </c>
      <c r="F1" t="s">
        <v>465</v>
      </c>
      <c r="G1" t="s">
        <v>4</v>
      </c>
      <c r="H1" t="s">
        <v>464</v>
      </c>
      <c r="I1" t="s">
        <v>463</v>
      </c>
      <c r="J1" t="s">
        <v>2</v>
      </c>
      <c r="K1" t="s">
        <v>3</v>
      </c>
      <c r="L1" t="s">
        <v>226</v>
      </c>
      <c r="M1" t="s">
        <v>227</v>
      </c>
      <c r="N1" t="s">
        <v>228</v>
      </c>
      <c r="O1" t="s">
        <v>229</v>
      </c>
      <c r="P1" t="s">
        <v>462</v>
      </c>
    </row>
    <row r="2" spans="1:16" x14ac:dyDescent="0.3">
      <c r="A2">
        <v>3</v>
      </c>
      <c r="B2" t="s">
        <v>8</v>
      </c>
      <c r="C2">
        <v>3.5008629999999998</v>
      </c>
      <c r="D2">
        <v>2920951</v>
      </c>
      <c r="E2">
        <v>29.827809999999999</v>
      </c>
      <c r="F2">
        <v>1052262</v>
      </c>
      <c r="G2">
        <v>0.34514590000000001</v>
      </c>
      <c r="H2">
        <v>3.2075</v>
      </c>
      <c r="I2">
        <v>1192.5</v>
      </c>
      <c r="J2" s="1">
        <v>258425732.75864801</v>
      </c>
      <c r="K2" s="1">
        <v>216709.20986050146</v>
      </c>
      <c r="L2">
        <v>1</v>
      </c>
      <c r="M2">
        <v>0</v>
      </c>
      <c r="N2">
        <v>0</v>
      </c>
      <c r="O2" s="1">
        <v>139352544</v>
      </c>
      <c r="P2" s="9" t="s">
        <v>457</v>
      </c>
    </row>
    <row r="3" spans="1:16" x14ac:dyDescent="0.3">
      <c r="A3">
        <v>59</v>
      </c>
      <c r="B3" t="s">
        <v>9</v>
      </c>
      <c r="C3">
        <v>1.5443499999999999</v>
      </c>
      <c r="D3">
        <v>441378.1</v>
      </c>
      <c r="E3">
        <v>26.168330000000001</v>
      </c>
      <c r="F3">
        <v>128928.8</v>
      </c>
      <c r="G3">
        <v>0.3001722</v>
      </c>
      <c r="H3">
        <v>3.6541670000000002</v>
      </c>
      <c r="I3">
        <v>109.8</v>
      </c>
      <c r="J3" s="1">
        <v>43856698.842359707</v>
      </c>
      <c r="K3" s="1">
        <v>399423.48672458751</v>
      </c>
      <c r="L3">
        <v>0</v>
      </c>
      <c r="M3">
        <v>1</v>
      </c>
      <c r="N3">
        <v>0</v>
      </c>
      <c r="P3" s="9"/>
    </row>
    <row r="4" spans="1:16" x14ac:dyDescent="0.3">
      <c r="A4">
        <v>60</v>
      </c>
      <c r="B4" t="s">
        <v>10</v>
      </c>
      <c r="C4">
        <v>1.2186840000000001</v>
      </c>
      <c r="D4">
        <v>1752344</v>
      </c>
      <c r="E4">
        <v>26.168330000000001</v>
      </c>
      <c r="F4">
        <v>373489.8</v>
      </c>
      <c r="G4">
        <v>0.27389330000000001</v>
      </c>
      <c r="H4">
        <v>3.6541670000000002</v>
      </c>
      <c r="I4">
        <v>324.3</v>
      </c>
      <c r="J4" s="1">
        <v>139050361.2719475</v>
      </c>
      <c r="K4" s="1">
        <v>428770.77172971785</v>
      </c>
      <c r="L4">
        <v>0</v>
      </c>
      <c r="M4">
        <v>1</v>
      </c>
      <c r="N4">
        <v>0</v>
      </c>
      <c r="O4" s="1">
        <v>564966</v>
      </c>
      <c r="P4" s="9" t="s">
        <v>458</v>
      </c>
    </row>
    <row r="5" spans="1:16" x14ac:dyDescent="0.3">
      <c r="A5">
        <v>79</v>
      </c>
      <c r="B5" t="s">
        <v>11</v>
      </c>
      <c r="C5">
        <v>3.4871669999999999</v>
      </c>
      <c r="D5">
        <v>304072.40000000002</v>
      </c>
      <c r="E5">
        <v>58.749049999999997</v>
      </c>
      <c r="F5">
        <v>49997.97</v>
      </c>
      <c r="G5">
        <v>0.13719439999999999</v>
      </c>
      <c r="H5">
        <v>7.3</v>
      </c>
      <c r="I5">
        <v>27.5</v>
      </c>
      <c r="J5" s="1">
        <v>43668107.627751604</v>
      </c>
      <c r="K5" s="1">
        <v>1587931.1864636948</v>
      </c>
      <c r="L5">
        <v>0</v>
      </c>
      <c r="M5">
        <v>1</v>
      </c>
      <c r="N5">
        <v>0</v>
      </c>
      <c r="P5" s="9"/>
    </row>
    <row r="6" spans="1:16" x14ac:dyDescent="0.3">
      <c r="A6">
        <v>108</v>
      </c>
      <c r="B6" t="s">
        <v>12</v>
      </c>
      <c r="C6">
        <v>1.413632</v>
      </c>
      <c r="D6">
        <v>1387455</v>
      </c>
      <c r="E6">
        <v>31.13589</v>
      </c>
      <c r="F6">
        <v>440874.2</v>
      </c>
      <c r="G6">
        <v>0.3244689</v>
      </c>
      <c r="H6">
        <v>3.275833</v>
      </c>
      <c r="I6">
        <v>348.7</v>
      </c>
      <c r="J6" s="1">
        <v>149832177.8986657</v>
      </c>
      <c r="K6" s="1">
        <v>429687.92055826128</v>
      </c>
      <c r="L6">
        <v>0</v>
      </c>
      <c r="M6">
        <v>1</v>
      </c>
      <c r="N6">
        <v>0</v>
      </c>
      <c r="O6" s="1">
        <v>859242</v>
      </c>
      <c r="P6" s="9" t="s">
        <v>459</v>
      </c>
    </row>
    <row r="7" spans="1:16" x14ac:dyDescent="0.3">
      <c r="A7">
        <v>113</v>
      </c>
      <c r="B7" t="s">
        <v>13</v>
      </c>
      <c r="C7">
        <v>2.4289670000000001</v>
      </c>
      <c r="D7">
        <v>2495827</v>
      </c>
      <c r="E7">
        <v>31.18571</v>
      </c>
      <c r="F7">
        <v>784239.4</v>
      </c>
      <c r="G7">
        <v>0.3224863</v>
      </c>
      <c r="H7">
        <v>4.5191660000000002</v>
      </c>
      <c r="I7">
        <v>425.9</v>
      </c>
      <c r="J7" s="1">
        <v>206958881.03054219</v>
      </c>
      <c r="K7" s="1">
        <v>485933.03834360698</v>
      </c>
      <c r="L7">
        <v>0</v>
      </c>
      <c r="M7">
        <v>1</v>
      </c>
      <c r="N7">
        <v>0</v>
      </c>
      <c r="P7" s="9"/>
    </row>
    <row r="8" spans="1:16" x14ac:dyDescent="0.3">
      <c r="A8">
        <v>130</v>
      </c>
      <c r="B8" t="s">
        <v>14</v>
      </c>
      <c r="C8">
        <v>3.1337809999999999</v>
      </c>
      <c r="D8">
        <v>6581772</v>
      </c>
      <c r="E8">
        <v>29.409210000000002</v>
      </c>
      <c r="F8">
        <v>2225136</v>
      </c>
      <c r="G8">
        <v>0.34632849999999998</v>
      </c>
      <c r="H8">
        <v>4.0083330000000004</v>
      </c>
      <c r="I8">
        <v>2390.1</v>
      </c>
      <c r="J8" s="1">
        <v>283279432.93563682</v>
      </c>
      <c r="K8" s="1">
        <v>118522.00030778495</v>
      </c>
      <c r="L8">
        <v>1</v>
      </c>
      <c r="M8">
        <v>0</v>
      </c>
      <c r="N8">
        <v>0</v>
      </c>
      <c r="P8" s="9"/>
    </row>
    <row r="9" spans="1:16" x14ac:dyDescent="0.3">
      <c r="A9">
        <v>136</v>
      </c>
      <c r="B9" t="s">
        <v>15</v>
      </c>
      <c r="C9">
        <v>2.7840829999999999</v>
      </c>
      <c r="D9">
        <v>5726542</v>
      </c>
      <c r="E9">
        <v>31.637530000000002</v>
      </c>
      <c r="F9">
        <v>1935274</v>
      </c>
      <c r="G9">
        <v>0.34334369999999997</v>
      </c>
      <c r="H9">
        <v>4.068333</v>
      </c>
      <c r="I9">
        <v>1429.2</v>
      </c>
      <c r="J9" s="1">
        <v>234800820.20769069</v>
      </c>
      <c r="K9" s="1">
        <v>164288.28729897193</v>
      </c>
      <c r="L9">
        <v>1</v>
      </c>
      <c r="M9">
        <v>0</v>
      </c>
      <c r="N9">
        <v>0</v>
      </c>
      <c r="P9" s="9"/>
    </row>
    <row r="10" spans="1:16" x14ac:dyDescent="0.3">
      <c r="A10">
        <v>160</v>
      </c>
      <c r="B10" t="s">
        <v>16</v>
      </c>
      <c r="C10">
        <v>2.7946870000000001</v>
      </c>
      <c r="D10">
        <v>670423.30000000005</v>
      </c>
      <c r="E10">
        <v>31.18571</v>
      </c>
      <c r="F10">
        <v>515245.3</v>
      </c>
      <c r="G10">
        <v>0.38368279999999999</v>
      </c>
      <c r="H10">
        <v>4.5191660000000002</v>
      </c>
      <c r="I10">
        <v>204</v>
      </c>
      <c r="J10" s="1">
        <v>43079957.98004514</v>
      </c>
      <c r="K10" s="1">
        <v>211176.2646080644</v>
      </c>
      <c r="L10">
        <v>0</v>
      </c>
      <c r="M10">
        <v>1</v>
      </c>
      <c r="N10">
        <v>0</v>
      </c>
      <c r="P10" s="9"/>
    </row>
    <row r="11" spans="1:16" x14ac:dyDescent="0.3">
      <c r="A11">
        <v>165</v>
      </c>
      <c r="B11" t="s">
        <v>17</v>
      </c>
      <c r="C11">
        <v>1.559207</v>
      </c>
      <c r="D11">
        <v>682418.6</v>
      </c>
      <c r="E11">
        <v>24.509060000000002</v>
      </c>
      <c r="F11">
        <v>174749.3</v>
      </c>
      <c r="G11">
        <v>0.30439090000000002</v>
      </c>
      <c r="H11">
        <v>3.1266669999999999</v>
      </c>
      <c r="I11">
        <v>594</v>
      </c>
      <c r="J11" s="1">
        <v>50218309.109470598</v>
      </c>
      <c r="K11" s="1">
        <v>84542.607928401674</v>
      </c>
      <c r="L11">
        <v>0</v>
      </c>
      <c r="M11">
        <v>1</v>
      </c>
      <c r="N11">
        <v>0</v>
      </c>
      <c r="P11" s="9"/>
    </row>
    <row r="12" spans="1:16" x14ac:dyDescent="0.3">
      <c r="A12">
        <v>298</v>
      </c>
      <c r="B12" t="s">
        <v>18</v>
      </c>
      <c r="C12">
        <v>2.102833</v>
      </c>
      <c r="D12">
        <v>6630945</v>
      </c>
      <c r="E12">
        <v>26.15709</v>
      </c>
      <c r="F12">
        <v>2099712</v>
      </c>
      <c r="G12">
        <v>0.32746350000000002</v>
      </c>
      <c r="H12">
        <v>2.7158329999999999</v>
      </c>
      <c r="I12">
        <v>1849.8</v>
      </c>
      <c r="J12" s="1">
        <v>237227393.96019551</v>
      </c>
      <c r="K12" s="1">
        <v>128244.88807449212</v>
      </c>
      <c r="L12">
        <v>1</v>
      </c>
      <c r="M12">
        <v>0</v>
      </c>
      <c r="N12">
        <v>0</v>
      </c>
      <c r="O12" s="1">
        <v>-1276537</v>
      </c>
      <c r="P12" s="9" t="s">
        <v>460</v>
      </c>
    </row>
    <row r="13" spans="1:16" x14ac:dyDescent="0.3">
      <c r="A13">
        <v>470</v>
      </c>
      <c r="B13" t="s">
        <v>19</v>
      </c>
      <c r="C13">
        <v>1.444499</v>
      </c>
      <c r="D13">
        <v>6362930</v>
      </c>
      <c r="E13">
        <v>31.033799999999999</v>
      </c>
      <c r="F13">
        <v>2070419</v>
      </c>
      <c r="G13">
        <v>0.33058799999999999</v>
      </c>
      <c r="H13">
        <v>3.7858329999999998</v>
      </c>
      <c r="I13">
        <v>1252.8</v>
      </c>
      <c r="J13" s="1">
        <v>288108234.89124727</v>
      </c>
      <c r="K13" s="1">
        <v>229971.45186082958</v>
      </c>
      <c r="L13">
        <v>0</v>
      </c>
      <c r="M13">
        <v>1</v>
      </c>
      <c r="N13">
        <v>0</v>
      </c>
      <c r="O13" s="1">
        <v>75195472</v>
      </c>
      <c r="P13" s="9" t="s">
        <v>460</v>
      </c>
    </row>
    <row r="14" spans="1:16" x14ac:dyDescent="0.3">
      <c r="A14">
        <v>525</v>
      </c>
      <c r="B14" t="s">
        <v>20</v>
      </c>
      <c r="C14">
        <v>2.139866</v>
      </c>
      <c r="D14">
        <v>2224508</v>
      </c>
      <c r="E14">
        <v>31.033799999999999</v>
      </c>
      <c r="F14">
        <v>702083.9</v>
      </c>
      <c r="G14">
        <v>0.31366100000000002</v>
      </c>
      <c r="H14">
        <v>3.7858329999999998</v>
      </c>
      <c r="I14">
        <v>465.4</v>
      </c>
      <c r="J14" s="1">
        <v>229839718.8557831</v>
      </c>
      <c r="K14" s="1">
        <v>493854.14451178152</v>
      </c>
      <c r="L14">
        <v>0</v>
      </c>
      <c r="M14">
        <v>1</v>
      </c>
      <c r="N14">
        <v>0</v>
      </c>
      <c r="O14" s="1">
        <v>3956934</v>
      </c>
      <c r="P14" s="9" t="s">
        <v>460</v>
      </c>
    </row>
    <row r="15" spans="1:16" x14ac:dyDescent="0.3">
      <c r="A15">
        <v>564</v>
      </c>
      <c r="B15" t="s">
        <v>21</v>
      </c>
      <c r="C15">
        <v>2.9965229999999998</v>
      </c>
      <c r="D15">
        <v>3466922</v>
      </c>
      <c r="E15">
        <v>31.637530000000002</v>
      </c>
      <c r="F15">
        <v>1234622</v>
      </c>
      <c r="G15">
        <v>0.34974640000000001</v>
      </c>
      <c r="H15">
        <v>4.068333</v>
      </c>
      <c r="I15">
        <v>929</v>
      </c>
      <c r="J15" s="1">
        <v>181538052.5190917</v>
      </c>
      <c r="K15" s="1">
        <v>195412.32779234843</v>
      </c>
      <c r="L15">
        <v>1</v>
      </c>
      <c r="M15">
        <v>0</v>
      </c>
      <c r="N15">
        <v>0</v>
      </c>
      <c r="O15" s="1">
        <v>31502184</v>
      </c>
      <c r="P15" s="9" t="s">
        <v>457</v>
      </c>
    </row>
    <row r="16" spans="1:16" x14ac:dyDescent="0.3">
      <c r="A16">
        <v>602</v>
      </c>
      <c r="B16" t="s">
        <v>22</v>
      </c>
      <c r="C16">
        <v>2.7831030000000001</v>
      </c>
      <c r="D16">
        <v>2446754</v>
      </c>
      <c r="E16">
        <v>34.464689999999997</v>
      </c>
      <c r="F16">
        <v>709134.2</v>
      </c>
      <c r="G16">
        <v>0.31237949999999998</v>
      </c>
      <c r="H16">
        <v>2.5966670000000001</v>
      </c>
      <c r="I16">
        <v>1370.2</v>
      </c>
      <c r="J16" s="1">
        <v>207061385.38511509</v>
      </c>
      <c r="K16" s="1">
        <v>151117.63639258142</v>
      </c>
      <c r="L16">
        <v>0</v>
      </c>
      <c r="M16">
        <v>1</v>
      </c>
      <c r="N16">
        <v>0</v>
      </c>
      <c r="O16" s="1">
        <v>28227462</v>
      </c>
      <c r="P16" s="9" t="s">
        <v>457</v>
      </c>
    </row>
    <row r="17" spans="1:16" x14ac:dyDescent="0.3">
      <c r="A17">
        <v>628</v>
      </c>
      <c r="B17" t="s">
        <v>23</v>
      </c>
      <c r="C17">
        <v>4.3844310000000002</v>
      </c>
      <c r="D17">
        <v>4445058</v>
      </c>
      <c r="E17">
        <v>31.637530000000002</v>
      </c>
      <c r="F17">
        <v>1448793</v>
      </c>
      <c r="G17">
        <v>0.33448139999999998</v>
      </c>
      <c r="H17">
        <v>4.068333</v>
      </c>
      <c r="I17">
        <v>1478.4</v>
      </c>
      <c r="J17" s="1">
        <v>314915851.91373652</v>
      </c>
      <c r="K17" s="1">
        <v>213011.26346978929</v>
      </c>
      <c r="L17">
        <v>1</v>
      </c>
      <c r="M17">
        <v>0</v>
      </c>
      <c r="N17">
        <v>0</v>
      </c>
      <c r="P17" s="9"/>
    </row>
    <row r="18" spans="1:16" x14ac:dyDescent="0.3">
      <c r="A18">
        <v>667</v>
      </c>
      <c r="B18" t="s">
        <v>24</v>
      </c>
      <c r="C18">
        <v>3.9940319999999998</v>
      </c>
      <c r="D18">
        <v>600398.1</v>
      </c>
      <c r="E18">
        <v>31.637530000000002</v>
      </c>
      <c r="F18">
        <v>590544.4</v>
      </c>
      <c r="G18">
        <v>0.35405950000000003</v>
      </c>
      <c r="H18">
        <v>4.068333</v>
      </c>
      <c r="I18">
        <v>595</v>
      </c>
      <c r="J18" s="1">
        <v>48308538.35665904</v>
      </c>
      <c r="K18" s="1">
        <v>81190.82076749418</v>
      </c>
      <c r="L18">
        <v>1</v>
      </c>
      <c r="M18">
        <v>0</v>
      </c>
      <c r="N18">
        <v>0</v>
      </c>
      <c r="O18" s="1">
        <v>63450360</v>
      </c>
      <c r="P18" s="9" t="s">
        <v>457</v>
      </c>
    </row>
    <row r="19" spans="1:16" x14ac:dyDescent="0.3">
      <c r="A19">
        <v>703</v>
      </c>
      <c r="B19" t="s">
        <v>25</v>
      </c>
      <c r="C19">
        <v>3.26756</v>
      </c>
      <c r="D19">
        <v>8278915</v>
      </c>
      <c r="E19">
        <v>30.15605</v>
      </c>
      <c r="F19">
        <v>2871983</v>
      </c>
      <c r="G19">
        <v>0.34783160000000002</v>
      </c>
      <c r="H19">
        <v>3.0750000000000002</v>
      </c>
      <c r="I19">
        <v>3498.6</v>
      </c>
      <c r="J19" s="1">
        <v>403608672.93911982</v>
      </c>
      <c r="K19" s="1">
        <v>115362.90886043555</v>
      </c>
      <c r="L19">
        <v>1</v>
      </c>
      <c r="M19">
        <v>0</v>
      </c>
      <c r="N19">
        <v>0</v>
      </c>
      <c r="O19" s="1">
        <v>189341488</v>
      </c>
      <c r="P19" s="9" t="s">
        <v>460</v>
      </c>
    </row>
    <row r="20" spans="1:16" x14ac:dyDescent="0.3">
      <c r="A20">
        <v>876</v>
      </c>
      <c r="B20" t="s">
        <v>26</v>
      </c>
      <c r="C20">
        <v>1.8321670000000001</v>
      </c>
      <c r="D20">
        <v>3215026</v>
      </c>
      <c r="E20">
        <v>29.876660000000001</v>
      </c>
      <c r="F20">
        <v>963726.5</v>
      </c>
      <c r="G20">
        <v>0.31645970000000001</v>
      </c>
      <c r="H20">
        <v>2.8308330000000002</v>
      </c>
      <c r="I20">
        <v>1319</v>
      </c>
      <c r="J20" s="1">
        <v>254927281.21715331</v>
      </c>
      <c r="K20" s="1">
        <v>193273.14724575687</v>
      </c>
      <c r="L20">
        <v>0</v>
      </c>
      <c r="M20">
        <v>1</v>
      </c>
      <c r="N20">
        <v>0</v>
      </c>
      <c r="O20" s="1">
        <v>2999882</v>
      </c>
      <c r="P20" s="9" t="s">
        <v>459</v>
      </c>
    </row>
    <row r="21" spans="1:16" x14ac:dyDescent="0.3">
      <c r="A21">
        <v>879</v>
      </c>
      <c r="B21" t="s">
        <v>27</v>
      </c>
      <c r="C21">
        <v>1.8321670000000001</v>
      </c>
      <c r="D21">
        <v>3132427</v>
      </c>
      <c r="E21">
        <v>29.876660000000001</v>
      </c>
      <c r="F21">
        <v>880728.4</v>
      </c>
      <c r="G21">
        <v>0.3082048</v>
      </c>
      <c r="H21">
        <v>2.8308330000000002</v>
      </c>
      <c r="I21">
        <v>1785.6</v>
      </c>
      <c r="J21" s="1">
        <v>217475318.51237589</v>
      </c>
      <c r="K21" s="1">
        <v>121793.9731812141</v>
      </c>
      <c r="L21">
        <v>0</v>
      </c>
      <c r="M21">
        <v>1</v>
      </c>
      <c r="N21">
        <v>0</v>
      </c>
      <c r="P21" s="9"/>
    </row>
    <row r="22" spans="1:16" x14ac:dyDescent="0.3">
      <c r="A22">
        <v>889</v>
      </c>
      <c r="B22" t="s">
        <v>28</v>
      </c>
      <c r="C22">
        <v>1.8321670000000001</v>
      </c>
      <c r="D22">
        <v>5336892</v>
      </c>
      <c r="E22">
        <v>29.876660000000001</v>
      </c>
      <c r="F22">
        <v>1727068</v>
      </c>
      <c r="G22">
        <v>0.33429300000000001</v>
      </c>
      <c r="H22">
        <v>2.8308330000000002</v>
      </c>
      <c r="I22">
        <v>1259.5999999999999</v>
      </c>
      <c r="J22" s="1">
        <v>251496934.97157091</v>
      </c>
      <c r="K22" s="1">
        <v>199664.12747822399</v>
      </c>
      <c r="L22">
        <v>1</v>
      </c>
      <c r="M22">
        <v>0</v>
      </c>
      <c r="N22">
        <v>0</v>
      </c>
      <c r="O22" s="1">
        <v>-155338</v>
      </c>
      <c r="P22" s="9" t="s">
        <v>460</v>
      </c>
    </row>
    <row r="23" spans="1:16" x14ac:dyDescent="0.3">
      <c r="A23">
        <v>963</v>
      </c>
      <c r="B23" t="s">
        <v>29</v>
      </c>
      <c r="C23">
        <v>1.8293330000000001</v>
      </c>
      <c r="D23">
        <v>1406305</v>
      </c>
      <c r="E23">
        <v>29.876660000000001</v>
      </c>
      <c r="F23">
        <v>423141.5</v>
      </c>
      <c r="G23">
        <v>0.29990909999999998</v>
      </c>
      <c r="H23">
        <v>2.8308330000000002</v>
      </c>
      <c r="I23">
        <v>437.4</v>
      </c>
      <c r="J23" s="1">
        <v>137068882.93729439</v>
      </c>
      <c r="K23" s="1">
        <v>313371.93172678188</v>
      </c>
      <c r="L23">
        <v>0</v>
      </c>
      <c r="M23">
        <v>1</v>
      </c>
      <c r="N23">
        <v>0</v>
      </c>
      <c r="O23" s="1">
        <v>5730460</v>
      </c>
      <c r="P23" s="9" t="s">
        <v>459</v>
      </c>
    </row>
    <row r="24" spans="1:16" x14ac:dyDescent="0.3">
      <c r="A24">
        <v>976</v>
      </c>
      <c r="B24" t="s">
        <v>30</v>
      </c>
      <c r="C24">
        <v>1.792692</v>
      </c>
      <c r="D24">
        <v>1144157</v>
      </c>
      <c r="E24">
        <v>29.876660000000001</v>
      </c>
      <c r="F24">
        <v>316606.3</v>
      </c>
      <c r="G24">
        <v>0.26549119999999998</v>
      </c>
      <c r="H24">
        <v>2.8308330000000002</v>
      </c>
      <c r="I24">
        <v>99</v>
      </c>
      <c r="J24" s="1">
        <v>66220285.350442417</v>
      </c>
      <c r="K24" s="1">
        <v>668891.77121659007</v>
      </c>
      <c r="L24">
        <v>1</v>
      </c>
      <c r="M24">
        <v>0</v>
      </c>
      <c r="N24">
        <v>0</v>
      </c>
      <c r="O24" s="1">
        <v>31359518</v>
      </c>
      <c r="P24" s="9" t="s">
        <v>458</v>
      </c>
    </row>
    <row r="25" spans="1:16" x14ac:dyDescent="0.3">
      <c r="A25">
        <v>983</v>
      </c>
      <c r="B25" t="s">
        <v>31</v>
      </c>
      <c r="C25">
        <v>2.3359260000000002</v>
      </c>
      <c r="D25">
        <v>4931310</v>
      </c>
      <c r="E25">
        <v>30.23762</v>
      </c>
      <c r="F25">
        <v>1553345</v>
      </c>
      <c r="G25">
        <v>0.32235659999999999</v>
      </c>
      <c r="H25">
        <v>3.1758329999999999</v>
      </c>
      <c r="I25">
        <v>1303.8</v>
      </c>
      <c r="J25" s="1">
        <v>303389037.32333648</v>
      </c>
      <c r="K25" s="1">
        <v>232695.99426548282</v>
      </c>
      <c r="L25">
        <v>1</v>
      </c>
      <c r="M25">
        <v>0</v>
      </c>
      <c r="N25">
        <v>0</v>
      </c>
      <c r="O25" s="1">
        <v>23481516</v>
      </c>
      <c r="P25" s="9" t="s">
        <v>460</v>
      </c>
    </row>
    <row r="26" spans="1:16" x14ac:dyDescent="0.3">
      <c r="A26">
        <v>994</v>
      </c>
      <c r="B26" t="s">
        <v>32</v>
      </c>
      <c r="C26">
        <v>2.007933</v>
      </c>
      <c r="D26">
        <v>7178261</v>
      </c>
      <c r="E26">
        <v>30.23762</v>
      </c>
      <c r="F26">
        <v>2292310</v>
      </c>
      <c r="G26">
        <v>0.32023689999999999</v>
      </c>
      <c r="H26">
        <v>3.1758329999999999</v>
      </c>
      <c r="I26">
        <v>1865.1</v>
      </c>
      <c r="J26" s="1">
        <v>245131471.8759056</v>
      </c>
      <c r="K26" s="1">
        <v>131430.73930400817</v>
      </c>
      <c r="L26">
        <v>1</v>
      </c>
      <c r="M26">
        <v>0</v>
      </c>
      <c r="N26">
        <v>0</v>
      </c>
      <c r="P26" s="9"/>
    </row>
    <row r="27" spans="1:16" x14ac:dyDescent="0.3">
      <c r="A27">
        <v>997</v>
      </c>
      <c r="B27" t="s">
        <v>33</v>
      </c>
      <c r="C27">
        <v>2.1064509999999999</v>
      </c>
      <c r="D27">
        <v>1352998</v>
      </c>
      <c r="E27">
        <v>30.23762</v>
      </c>
      <c r="F27">
        <v>428066.1</v>
      </c>
      <c r="G27">
        <v>0.32799719999999999</v>
      </c>
      <c r="H27">
        <v>3.1758329999999999</v>
      </c>
      <c r="I27">
        <v>540</v>
      </c>
      <c r="J27" s="1">
        <v>176699359.9401257</v>
      </c>
      <c r="K27" s="1">
        <v>327221.0369261587</v>
      </c>
      <c r="L27">
        <v>0</v>
      </c>
      <c r="M27">
        <v>1</v>
      </c>
      <c r="N27">
        <v>0</v>
      </c>
      <c r="O27" s="1">
        <v>-455463</v>
      </c>
      <c r="P27" s="9" t="s">
        <v>460</v>
      </c>
    </row>
    <row r="28" spans="1:16" x14ac:dyDescent="0.3">
      <c r="A28">
        <v>1001</v>
      </c>
      <c r="B28" t="s">
        <v>34</v>
      </c>
      <c r="C28">
        <v>2.5232579999999998</v>
      </c>
      <c r="D28">
        <v>3864346</v>
      </c>
      <c r="E28">
        <v>30.23762</v>
      </c>
      <c r="F28">
        <v>1305205</v>
      </c>
      <c r="G28">
        <v>0.33450760000000002</v>
      </c>
      <c r="H28">
        <v>3.1758329999999999</v>
      </c>
      <c r="I28">
        <v>1062</v>
      </c>
      <c r="J28" s="1">
        <v>281170134.25253677</v>
      </c>
      <c r="K28" s="1">
        <v>264755.30532253935</v>
      </c>
      <c r="L28">
        <v>1</v>
      </c>
      <c r="M28">
        <v>0</v>
      </c>
      <c r="N28">
        <v>0</v>
      </c>
      <c r="O28" s="1">
        <v>19179648</v>
      </c>
      <c r="P28" s="9" t="s">
        <v>459</v>
      </c>
    </row>
    <row r="29" spans="1:16" x14ac:dyDescent="0.3">
      <c r="A29">
        <v>1004</v>
      </c>
      <c r="B29" t="s">
        <v>35</v>
      </c>
      <c r="C29">
        <v>2.287887</v>
      </c>
      <c r="D29">
        <v>875463.5</v>
      </c>
      <c r="E29">
        <v>30.23762</v>
      </c>
      <c r="F29">
        <v>498252</v>
      </c>
      <c r="G29">
        <v>0.53846229999999995</v>
      </c>
      <c r="H29">
        <v>3.1758329999999999</v>
      </c>
      <c r="I29">
        <v>804.5</v>
      </c>
      <c r="J29" s="1">
        <v>69481771.242009178</v>
      </c>
      <c r="K29" s="1">
        <v>86366.403035437135</v>
      </c>
      <c r="L29">
        <v>0</v>
      </c>
      <c r="M29">
        <v>1</v>
      </c>
      <c r="N29">
        <v>0</v>
      </c>
      <c r="P29" s="9"/>
    </row>
    <row r="30" spans="1:16" x14ac:dyDescent="0.3">
      <c r="A30">
        <v>1012</v>
      </c>
      <c r="B30" t="s">
        <v>36</v>
      </c>
      <c r="C30">
        <v>2.3041960000000001</v>
      </c>
      <c r="D30">
        <v>1293899</v>
      </c>
      <c r="E30">
        <v>30.23762</v>
      </c>
      <c r="F30">
        <v>408760.7</v>
      </c>
      <c r="G30">
        <v>0.31774360000000001</v>
      </c>
      <c r="H30">
        <v>3.1758329999999999</v>
      </c>
      <c r="I30">
        <v>368.9</v>
      </c>
      <c r="J30" s="1">
        <v>175521667.07725149</v>
      </c>
      <c r="K30" s="1">
        <v>475797.41685348743</v>
      </c>
      <c r="L30">
        <v>0</v>
      </c>
      <c r="M30">
        <v>1</v>
      </c>
      <c r="N30">
        <v>0</v>
      </c>
      <c r="O30" s="1">
        <v>2730442</v>
      </c>
      <c r="P30" s="9" t="s">
        <v>460</v>
      </c>
    </row>
    <row r="31" spans="1:16" x14ac:dyDescent="0.3">
      <c r="A31">
        <v>1040</v>
      </c>
      <c r="B31" t="s">
        <v>37</v>
      </c>
      <c r="C31">
        <v>3.577925</v>
      </c>
      <c r="D31">
        <v>43692.66</v>
      </c>
      <c r="E31">
        <v>30.23762</v>
      </c>
      <c r="F31">
        <v>10859.54</v>
      </c>
      <c r="G31">
        <v>0.27565250000000002</v>
      </c>
      <c r="H31">
        <v>3.1758329999999999</v>
      </c>
      <c r="I31">
        <v>93.9</v>
      </c>
      <c r="J31" s="1">
        <v>4662511.4507020861</v>
      </c>
      <c r="K31" s="1">
        <v>49654.009059660122</v>
      </c>
      <c r="L31">
        <v>0</v>
      </c>
      <c r="M31">
        <v>1</v>
      </c>
      <c r="N31">
        <v>0</v>
      </c>
      <c r="P31" s="9"/>
    </row>
    <row r="32" spans="1:16" x14ac:dyDescent="0.3">
      <c r="A32">
        <v>1047</v>
      </c>
      <c r="B32" t="s">
        <v>38</v>
      </c>
      <c r="C32">
        <v>1.7227859999999999</v>
      </c>
      <c r="D32">
        <v>682603.5</v>
      </c>
      <c r="E32">
        <v>26.650919999999999</v>
      </c>
      <c r="F32">
        <v>184496.7</v>
      </c>
      <c r="G32">
        <v>0.2828254</v>
      </c>
      <c r="H32">
        <v>2.855</v>
      </c>
      <c r="I32">
        <v>274.5</v>
      </c>
      <c r="J32" s="1">
        <v>52975044.504147761</v>
      </c>
      <c r="K32" s="1">
        <v>192987.41167266943</v>
      </c>
      <c r="L32">
        <v>0</v>
      </c>
      <c r="M32">
        <v>1</v>
      </c>
      <c r="N32">
        <v>0</v>
      </c>
      <c r="P32" s="9"/>
    </row>
    <row r="33" spans="1:16" x14ac:dyDescent="0.3">
      <c r="A33">
        <v>1073</v>
      </c>
      <c r="B33" t="s">
        <v>39</v>
      </c>
      <c r="C33">
        <v>1.9137329999999999</v>
      </c>
      <c r="D33">
        <v>111932.1</v>
      </c>
      <c r="E33">
        <v>26.650919999999999</v>
      </c>
      <c r="F33">
        <v>24753.95</v>
      </c>
      <c r="G33">
        <v>0.27308349999999998</v>
      </c>
      <c r="H33">
        <v>2.855</v>
      </c>
      <c r="I33">
        <v>64.599999999999994</v>
      </c>
      <c r="J33" s="1">
        <v>12110182.766151629</v>
      </c>
      <c r="K33" s="1">
        <v>187464.12950699119</v>
      </c>
      <c r="L33">
        <v>0</v>
      </c>
      <c r="M33">
        <v>1</v>
      </c>
      <c r="N33">
        <v>0</v>
      </c>
      <c r="O33" s="1">
        <v>943861</v>
      </c>
      <c r="P33" s="9" t="s">
        <v>458</v>
      </c>
    </row>
    <row r="34" spans="1:16" x14ac:dyDescent="0.3">
      <c r="A34">
        <v>1082</v>
      </c>
      <c r="B34" t="s">
        <v>40</v>
      </c>
      <c r="C34">
        <v>1.379912</v>
      </c>
      <c r="D34">
        <v>6095656</v>
      </c>
      <c r="E34">
        <v>26.650919999999999</v>
      </c>
      <c r="F34">
        <v>2044352</v>
      </c>
      <c r="G34">
        <v>0.34006740000000002</v>
      </c>
      <c r="H34">
        <v>2.855</v>
      </c>
      <c r="I34">
        <v>1648.3</v>
      </c>
      <c r="J34" s="1">
        <v>318095443.74632889</v>
      </c>
      <c r="K34" s="1">
        <v>192983.94936985313</v>
      </c>
      <c r="L34">
        <v>1</v>
      </c>
      <c r="M34">
        <v>0</v>
      </c>
      <c r="N34">
        <v>0</v>
      </c>
      <c r="O34" s="1">
        <v>5288220</v>
      </c>
      <c r="P34" s="9" t="s">
        <v>460</v>
      </c>
    </row>
    <row r="35" spans="1:16" x14ac:dyDescent="0.3">
      <c r="A35">
        <v>1091</v>
      </c>
      <c r="B35" t="s">
        <v>41</v>
      </c>
      <c r="C35">
        <v>1.751933</v>
      </c>
      <c r="D35">
        <v>1250242</v>
      </c>
      <c r="E35">
        <v>26.650919999999999</v>
      </c>
      <c r="F35">
        <v>405687.7</v>
      </c>
      <c r="G35">
        <v>0.32819939999999997</v>
      </c>
      <c r="H35">
        <v>2.855</v>
      </c>
      <c r="I35">
        <v>584.1</v>
      </c>
      <c r="J35" s="1">
        <v>70047970.883449689</v>
      </c>
      <c r="K35" s="1">
        <v>119924.62058457402</v>
      </c>
      <c r="L35">
        <v>1</v>
      </c>
      <c r="M35">
        <v>0</v>
      </c>
      <c r="N35">
        <v>0</v>
      </c>
      <c r="O35" s="1">
        <v>1699131</v>
      </c>
      <c r="P35" s="9" t="s">
        <v>459</v>
      </c>
    </row>
    <row r="36" spans="1:16" x14ac:dyDescent="0.3">
      <c r="A36">
        <v>1167</v>
      </c>
      <c r="B36" t="s">
        <v>42</v>
      </c>
      <c r="C36">
        <v>1.869291</v>
      </c>
      <c r="D36">
        <v>971107.2</v>
      </c>
      <c r="E36">
        <v>26.650919999999999</v>
      </c>
      <c r="F36">
        <v>221162.7</v>
      </c>
      <c r="G36">
        <v>0.25208920000000001</v>
      </c>
      <c r="H36">
        <v>2.855</v>
      </c>
      <c r="I36">
        <v>293.5</v>
      </c>
      <c r="J36" s="1">
        <v>49867097.112705953</v>
      </c>
      <c r="K36" s="1">
        <v>169904.93053732862</v>
      </c>
      <c r="L36">
        <v>1</v>
      </c>
      <c r="M36">
        <v>0</v>
      </c>
      <c r="N36">
        <v>0</v>
      </c>
      <c r="P36" s="9"/>
    </row>
    <row r="37" spans="1:16" x14ac:dyDescent="0.3">
      <c r="A37">
        <v>1241</v>
      </c>
      <c r="B37" t="s">
        <v>43</v>
      </c>
      <c r="C37">
        <v>1.6094120000000001</v>
      </c>
      <c r="D37">
        <v>5417320</v>
      </c>
      <c r="E37">
        <v>31.13589</v>
      </c>
      <c r="F37">
        <v>1721853</v>
      </c>
      <c r="G37">
        <v>0.32424150000000002</v>
      </c>
      <c r="H37">
        <v>3.275833</v>
      </c>
      <c r="I37">
        <v>1598.9</v>
      </c>
      <c r="J37" s="1">
        <v>324623963.31565762</v>
      </c>
      <c r="K37" s="1">
        <v>203029.5598947136</v>
      </c>
      <c r="L37">
        <v>0</v>
      </c>
      <c r="M37">
        <v>1</v>
      </c>
      <c r="N37">
        <v>0</v>
      </c>
      <c r="O37" s="1">
        <v>84730560</v>
      </c>
      <c r="P37" s="9" t="s">
        <v>460</v>
      </c>
    </row>
    <row r="38" spans="1:16" x14ac:dyDescent="0.3">
      <c r="A38">
        <v>1250</v>
      </c>
      <c r="B38" t="s">
        <v>44</v>
      </c>
      <c r="C38">
        <v>1.6467350000000001</v>
      </c>
      <c r="D38">
        <v>2034539</v>
      </c>
      <c r="E38">
        <v>31.13589</v>
      </c>
      <c r="F38">
        <v>628299.30000000005</v>
      </c>
      <c r="G38">
        <v>0.31164700000000001</v>
      </c>
      <c r="H38">
        <v>3.275833</v>
      </c>
      <c r="I38">
        <v>517</v>
      </c>
      <c r="J38" s="1">
        <v>168800839.83952811</v>
      </c>
      <c r="K38" s="1">
        <v>326500.65732984163</v>
      </c>
      <c r="L38">
        <v>0</v>
      </c>
      <c r="M38">
        <v>1</v>
      </c>
      <c r="N38">
        <v>0</v>
      </c>
      <c r="O38" s="1">
        <v>1443980</v>
      </c>
      <c r="P38" s="9" t="s">
        <v>460</v>
      </c>
    </row>
    <row r="39" spans="1:16" x14ac:dyDescent="0.3">
      <c r="A39">
        <v>1355</v>
      </c>
      <c r="B39" t="s">
        <v>45</v>
      </c>
      <c r="C39">
        <v>2.1480299999999999</v>
      </c>
      <c r="D39">
        <v>1175481</v>
      </c>
      <c r="E39">
        <v>26.56202</v>
      </c>
      <c r="F39">
        <v>340174</v>
      </c>
      <c r="G39">
        <v>0.30821989999999999</v>
      </c>
      <c r="H39">
        <v>3.4791669999999999</v>
      </c>
      <c r="I39">
        <v>464</v>
      </c>
      <c r="J39" s="1">
        <v>70295770.137632623</v>
      </c>
      <c r="K39" s="1">
        <v>151499.50460696686</v>
      </c>
      <c r="L39">
        <v>1</v>
      </c>
      <c r="M39">
        <v>0</v>
      </c>
      <c r="N39">
        <v>0</v>
      </c>
      <c r="O39" s="1">
        <v>18068774</v>
      </c>
      <c r="P39" s="9" t="s">
        <v>461</v>
      </c>
    </row>
    <row r="40" spans="1:16" x14ac:dyDescent="0.3">
      <c r="A40">
        <v>1356</v>
      </c>
      <c r="B40" t="s">
        <v>46</v>
      </c>
      <c r="C40">
        <v>1.975465</v>
      </c>
      <c r="D40">
        <v>9411003</v>
      </c>
      <c r="E40">
        <v>26.56202</v>
      </c>
      <c r="F40">
        <v>2954817</v>
      </c>
      <c r="G40">
        <v>0.31505509999999998</v>
      </c>
      <c r="H40">
        <v>3.4791669999999999</v>
      </c>
      <c r="I40">
        <v>2225.9</v>
      </c>
      <c r="J40" s="1">
        <v>350297390.11328417</v>
      </c>
      <c r="K40" s="1">
        <v>157373.37261929293</v>
      </c>
      <c r="L40">
        <v>1</v>
      </c>
      <c r="M40">
        <v>0</v>
      </c>
      <c r="N40">
        <v>0</v>
      </c>
      <c r="O40" s="1">
        <v>6609527</v>
      </c>
      <c r="P40" s="9" t="s">
        <v>460</v>
      </c>
    </row>
    <row r="41" spans="1:16" x14ac:dyDescent="0.3">
      <c r="A41">
        <v>1364</v>
      </c>
      <c r="B41" t="s">
        <v>47</v>
      </c>
      <c r="C41">
        <v>2.0460340000000001</v>
      </c>
      <c r="D41">
        <v>6690529</v>
      </c>
      <c r="E41">
        <v>26.56202</v>
      </c>
      <c r="F41">
        <v>2175812</v>
      </c>
      <c r="G41">
        <v>0.32310139999999998</v>
      </c>
      <c r="H41">
        <v>3.4791669999999999</v>
      </c>
      <c r="I41">
        <v>1717.2</v>
      </c>
      <c r="J41" s="1">
        <v>320766290.02860397</v>
      </c>
      <c r="K41" s="1">
        <v>186796.11578651523</v>
      </c>
      <c r="L41">
        <v>1</v>
      </c>
      <c r="M41">
        <v>0</v>
      </c>
      <c r="N41">
        <v>0</v>
      </c>
      <c r="O41" s="1">
        <v>56412720</v>
      </c>
      <c r="P41" s="9" t="s">
        <v>460</v>
      </c>
    </row>
    <row r="42" spans="1:16" x14ac:dyDescent="0.3">
      <c r="A42">
        <v>1379</v>
      </c>
      <c r="B42" t="s">
        <v>48</v>
      </c>
      <c r="C42">
        <v>1.6999949999999999</v>
      </c>
      <c r="D42">
        <v>5273130</v>
      </c>
      <c r="E42">
        <v>26.56202</v>
      </c>
      <c r="F42">
        <v>1570337</v>
      </c>
      <c r="G42">
        <v>0.30894870000000002</v>
      </c>
      <c r="H42">
        <v>3.4791669999999999</v>
      </c>
      <c r="I42">
        <v>1575</v>
      </c>
      <c r="J42" s="1">
        <v>271783321.05410832</v>
      </c>
      <c r="K42" s="1">
        <v>172560.83876451323</v>
      </c>
      <c r="L42">
        <v>1</v>
      </c>
      <c r="M42">
        <v>0</v>
      </c>
      <c r="N42">
        <v>0</v>
      </c>
      <c r="O42" s="1">
        <v>130079968</v>
      </c>
      <c r="P42" s="9" t="s">
        <v>457</v>
      </c>
    </row>
    <row r="43" spans="1:16" x14ac:dyDescent="0.3">
      <c r="A43">
        <v>1384</v>
      </c>
      <c r="B43" t="s">
        <v>49</v>
      </c>
      <c r="C43">
        <v>3.5625629999999999</v>
      </c>
      <c r="D43">
        <v>350066.8</v>
      </c>
      <c r="E43">
        <v>26.56202</v>
      </c>
      <c r="F43">
        <v>108109.3</v>
      </c>
      <c r="G43">
        <v>0.32186209999999998</v>
      </c>
      <c r="H43">
        <v>3.4791669999999999</v>
      </c>
      <c r="I43">
        <v>344</v>
      </c>
      <c r="J43" s="1">
        <v>39010129.0635226</v>
      </c>
      <c r="K43" s="1">
        <v>113401.53797535639</v>
      </c>
      <c r="L43">
        <v>0</v>
      </c>
      <c r="M43">
        <v>1</v>
      </c>
      <c r="N43">
        <v>0</v>
      </c>
      <c r="O43" s="1">
        <v>12086222</v>
      </c>
      <c r="P43" s="9" t="s">
        <v>457</v>
      </c>
    </row>
    <row r="44" spans="1:16" x14ac:dyDescent="0.3">
      <c r="A44">
        <v>1393</v>
      </c>
      <c r="B44" t="s">
        <v>50</v>
      </c>
      <c r="C44">
        <v>2.0245139999999999</v>
      </c>
      <c r="D44">
        <v>1757744</v>
      </c>
      <c r="E44">
        <v>24.639469999999999</v>
      </c>
      <c r="F44">
        <v>519264.7</v>
      </c>
      <c r="G44">
        <v>0.30120200000000003</v>
      </c>
      <c r="H44">
        <v>2.9024999999999999</v>
      </c>
      <c r="I44">
        <v>614.6</v>
      </c>
      <c r="J44" s="1">
        <v>181981552.98513901</v>
      </c>
      <c r="K44" s="1">
        <v>296097.54797451838</v>
      </c>
      <c r="L44">
        <v>0</v>
      </c>
      <c r="M44">
        <v>1</v>
      </c>
      <c r="N44">
        <v>0</v>
      </c>
      <c r="O44" s="1">
        <v>47305460</v>
      </c>
      <c r="P44" s="9" t="s">
        <v>457</v>
      </c>
    </row>
    <row r="45" spans="1:16" x14ac:dyDescent="0.3">
      <c r="A45">
        <v>1702</v>
      </c>
      <c r="B45" t="s">
        <v>51</v>
      </c>
      <c r="C45">
        <v>2.2187589999999999</v>
      </c>
      <c r="D45">
        <v>2071812</v>
      </c>
      <c r="E45">
        <v>35.878749999999997</v>
      </c>
      <c r="F45">
        <v>659173.4</v>
      </c>
      <c r="G45">
        <v>0.32733800000000002</v>
      </c>
      <c r="H45">
        <v>2.8591669999999998</v>
      </c>
      <c r="I45">
        <v>544</v>
      </c>
      <c r="J45" s="1">
        <v>190347084.38128281</v>
      </c>
      <c r="K45" s="1">
        <v>349902.72864206397</v>
      </c>
      <c r="L45">
        <v>0</v>
      </c>
      <c r="M45">
        <v>1</v>
      </c>
      <c r="N45">
        <v>0</v>
      </c>
      <c r="O45" s="1">
        <v>5293038</v>
      </c>
      <c r="P45" s="9" t="s">
        <v>459</v>
      </c>
    </row>
    <row r="46" spans="1:16" x14ac:dyDescent="0.3">
      <c r="A46">
        <v>1710</v>
      </c>
      <c r="B46" t="s">
        <v>52</v>
      </c>
      <c r="C46">
        <v>2.1536849999999998</v>
      </c>
      <c r="D46">
        <v>6650138</v>
      </c>
      <c r="E46">
        <v>35.878749999999997</v>
      </c>
      <c r="F46">
        <v>2205194</v>
      </c>
      <c r="G46">
        <v>0.33773930000000002</v>
      </c>
      <c r="H46">
        <v>2.8591669999999998</v>
      </c>
      <c r="I46">
        <v>1560.8</v>
      </c>
      <c r="J46" s="1">
        <v>317293915.30141962</v>
      </c>
      <c r="K46" s="1">
        <v>203289.28453448208</v>
      </c>
      <c r="L46">
        <v>1</v>
      </c>
      <c r="M46">
        <v>0</v>
      </c>
      <c r="N46">
        <v>0</v>
      </c>
      <c r="O46" s="1">
        <v>8834765</v>
      </c>
      <c r="P46" s="9" t="s">
        <v>460</v>
      </c>
    </row>
    <row r="47" spans="1:16" x14ac:dyDescent="0.3">
      <c r="A47">
        <v>1893</v>
      </c>
      <c r="B47" t="s">
        <v>53</v>
      </c>
      <c r="C47">
        <v>2.064711</v>
      </c>
      <c r="D47">
        <v>4701616</v>
      </c>
      <c r="E47">
        <v>31.852930000000001</v>
      </c>
      <c r="F47">
        <v>1504572</v>
      </c>
      <c r="G47">
        <v>0.32135789999999997</v>
      </c>
      <c r="H47">
        <v>5.3266669999999996</v>
      </c>
      <c r="I47">
        <v>922.5</v>
      </c>
      <c r="J47" s="1">
        <v>309825966.72078133</v>
      </c>
      <c r="K47" s="1">
        <v>335854.70647239167</v>
      </c>
      <c r="L47">
        <v>0</v>
      </c>
      <c r="M47">
        <v>1</v>
      </c>
      <c r="N47">
        <v>0</v>
      </c>
      <c r="O47" s="1">
        <v>2456691</v>
      </c>
      <c r="P47" s="9" t="s">
        <v>460</v>
      </c>
    </row>
    <row r="48" spans="1:16" x14ac:dyDescent="0.3">
      <c r="A48">
        <v>1915</v>
      </c>
      <c r="B48" t="s">
        <v>54</v>
      </c>
      <c r="C48">
        <v>2.2412019999999999</v>
      </c>
      <c r="D48">
        <v>1297806</v>
      </c>
      <c r="E48">
        <v>31.852930000000001</v>
      </c>
      <c r="F48">
        <v>436064.7</v>
      </c>
      <c r="G48">
        <v>0.35074300000000003</v>
      </c>
      <c r="H48">
        <v>5.3266669999999996</v>
      </c>
      <c r="I48">
        <v>598.4</v>
      </c>
      <c r="J48" s="1">
        <v>178046823.76053521</v>
      </c>
      <c r="K48" s="1">
        <v>297538.14131105482</v>
      </c>
      <c r="L48">
        <v>0</v>
      </c>
      <c r="M48">
        <v>1</v>
      </c>
      <c r="N48">
        <v>0</v>
      </c>
      <c r="O48" s="1">
        <v>976809</v>
      </c>
      <c r="P48" s="9" t="s">
        <v>460</v>
      </c>
    </row>
    <row r="49" spans="1:16" x14ac:dyDescent="0.3">
      <c r="A49">
        <v>2079</v>
      </c>
      <c r="B49" t="s">
        <v>55</v>
      </c>
      <c r="C49">
        <v>1.5122610000000001</v>
      </c>
      <c r="D49">
        <v>2335195</v>
      </c>
      <c r="E49">
        <v>28.703389999999999</v>
      </c>
      <c r="F49">
        <v>766992.9</v>
      </c>
      <c r="G49">
        <v>0.33161020000000002</v>
      </c>
      <c r="H49">
        <v>2.985833</v>
      </c>
      <c r="I49">
        <v>569</v>
      </c>
      <c r="J49" s="1">
        <v>197510821.60702541</v>
      </c>
      <c r="K49" s="1">
        <v>347119.19438844535</v>
      </c>
      <c r="L49">
        <v>0</v>
      </c>
      <c r="M49">
        <v>1</v>
      </c>
      <c r="N49">
        <v>0</v>
      </c>
      <c r="O49" s="1">
        <v>2084966</v>
      </c>
      <c r="P49" s="9" t="s">
        <v>459</v>
      </c>
    </row>
    <row r="50" spans="1:16" x14ac:dyDescent="0.3">
      <c r="A50">
        <v>2103</v>
      </c>
      <c r="B50" t="s">
        <v>56</v>
      </c>
      <c r="C50">
        <v>1.5477160000000001</v>
      </c>
      <c r="D50">
        <v>13800000</v>
      </c>
      <c r="E50">
        <v>28.703389999999999</v>
      </c>
      <c r="F50">
        <v>4516656</v>
      </c>
      <c r="G50">
        <v>0.3296809</v>
      </c>
      <c r="H50">
        <v>2.985833</v>
      </c>
      <c r="I50">
        <v>2389.4</v>
      </c>
      <c r="J50" s="1">
        <v>328197766.13621849</v>
      </c>
      <c r="K50" s="1">
        <v>137355.7236696319</v>
      </c>
      <c r="L50">
        <v>1</v>
      </c>
      <c r="M50">
        <v>0</v>
      </c>
      <c r="N50">
        <v>0</v>
      </c>
      <c r="P50" s="9"/>
    </row>
    <row r="51" spans="1:16" x14ac:dyDescent="0.3">
      <c r="A51">
        <v>2107</v>
      </c>
      <c r="B51" t="s">
        <v>57</v>
      </c>
      <c r="C51">
        <v>1.755072</v>
      </c>
      <c r="D51">
        <v>3776285</v>
      </c>
      <c r="E51">
        <v>28.703389999999999</v>
      </c>
      <c r="F51">
        <v>1128951</v>
      </c>
      <c r="G51">
        <v>0.31589349999999999</v>
      </c>
      <c r="H51">
        <v>2.985833</v>
      </c>
      <c r="I51">
        <v>1099.4000000000001</v>
      </c>
      <c r="J51" s="1">
        <v>213302642.12186041</v>
      </c>
      <c r="K51" s="1">
        <v>194017.32046740077</v>
      </c>
      <c r="L51">
        <v>0</v>
      </c>
      <c r="M51">
        <v>1</v>
      </c>
      <c r="N51">
        <v>0</v>
      </c>
      <c r="P51" s="9"/>
    </row>
    <row r="52" spans="1:16" x14ac:dyDescent="0.3">
      <c r="A52">
        <v>2167</v>
      </c>
      <c r="B52" t="s">
        <v>58</v>
      </c>
      <c r="C52">
        <v>2.0006170000000001</v>
      </c>
      <c r="D52">
        <v>5689579</v>
      </c>
      <c r="E52">
        <v>28.703389999999999</v>
      </c>
      <c r="F52">
        <v>1950829</v>
      </c>
      <c r="G52">
        <v>0.3436958</v>
      </c>
      <c r="H52">
        <v>2.985833</v>
      </c>
      <c r="I52">
        <v>1300</v>
      </c>
      <c r="J52" s="1">
        <v>242577655.4880532</v>
      </c>
      <c r="K52" s="1">
        <v>186598.19652927169</v>
      </c>
      <c r="L52">
        <v>0</v>
      </c>
      <c r="M52">
        <v>1</v>
      </c>
      <c r="N52">
        <v>0</v>
      </c>
      <c r="P52" s="9"/>
    </row>
    <row r="53" spans="1:16" x14ac:dyDescent="0.3">
      <c r="A53">
        <v>2168</v>
      </c>
      <c r="B53" t="s">
        <v>59</v>
      </c>
      <c r="C53">
        <v>1.863767</v>
      </c>
      <c r="D53">
        <v>6308058</v>
      </c>
      <c r="E53">
        <v>28.703389999999999</v>
      </c>
      <c r="F53">
        <v>2187651</v>
      </c>
      <c r="G53">
        <v>0.34122469999999999</v>
      </c>
      <c r="H53">
        <v>2.985833</v>
      </c>
      <c r="I53">
        <v>1181.7</v>
      </c>
      <c r="J53" s="1">
        <v>239886059.20936441</v>
      </c>
      <c r="K53" s="1">
        <v>203000.81171986496</v>
      </c>
      <c r="L53">
        <v>0</v>
      </c>
      <c r="M53">
        <v>1</v>
      </c>
      <c r="N53">
        <v>0</v>
      </c>
      <c r="P53" s="9"/>
    </row>
    <row r="54" spans="1:16" x14ac:dyDescent="0.3">
      <c r="A54">
        <v>2240</v>
      </c>
      <c r="B54" t="s">
        <v>60</v>
      </c>
      <c r="C54">
        <v>1.737552</v>
      </c>
      <c r="D54">
        <v>426378</v>
      </c>
      <c r="E54">
        <v>26.168330000000001</v>
      </c>
      <c r="F54">
        <v>127003.5</v>
      </c>
      <c r="G54">
        <v>0.29518990000000001</v>
      </c>
      <c r="H54">
        <v>3.6541670000000002</v>
      </c>
      <c r="I54">
        <v>130</v>
      </c>
      <c r="J54" s="1">
        <v>42769197.05850146</v>
      </c>
      <c r="K54" s="1">
        <v>328993.82352693431</v>
      </c>
      <c r="L54">
        <v>0</v>
      </c>
      <c r="M54">
        <v>1</v>
      </c>
      <c r="N54">
        <v>0</v>
      </c>
      <c r="P54" s="9"/>
    </row>
    <row r="55" spans="1:16" x14ac:dyDescent="0.3">
      <c r="A55">
        <v>2277</v>
      </c>
      <c r="B55" t="s">
        <v>61</v>
      </c>
      <c r="C55">
        <v>1.4597819999999999</v>
      </c>
      <c r="D55">
        <v>780280.5</v>
      </c>
      <c r="E55">
        <v>26.168330000000001</v>
      </c>
      <c r="F55">
        <v>227124</v>
      </c>
      <c r="G55">
        <v>0.29404550000000002</v>
      </c>
      <c r="H55">
        <v>3.6541670000000002</v>
      </c>
      <c r="I55">
        <v>228.7</v>
      </c>
      <c r="J55" s="1">
        <v>44724164.522905312</v>
      </c>
      <c r="K55" s="1">
        <v>195558.21828992266</v>
      </c>
      <c r="L55">
        <v>0</v>
      </c>
      <c r="M55">
        <v>1</v>
      </c>
      <c r="N55">
        <v>0</v>
      </c>
      <c r="O55" s="1">
        <v>6159260</v>
      </c>
      <c r="P55" s="9" t="s">
        <v>460</v>
      </c>
    </row>
    <row r="56" spans="1:16" x14ac:dyDescent="0.3">
      <c r="A56">
        <v>2291</v>
      </c>
      <c r="B56" t="s">
        <v>62</v>
      </c>
      <c r="C56">
        <v>1.348115</v>
      </c>
      <c r="D56">
        <v>1559572</v>
      </c>
      <c r="E56">
        <v>26.168330000000001</v>
      </c>
      <c r="F56">
        <v>501408.1</v>
      </c>
      <c r="G56">
        <v>0.31557069999999998</v>
      </c>
      <c r="H56">
        <v>3.6541670000000002</v>
      </c>
      <c r="I56">
        <v>353.6</v>
      </c>
      <c r="J56" s="1">
        <v>178575276.26942971</v>
      </c>
      <c r="K56" s="1">
        <v>505020.57768503873</v>
      </c>
      <c r="L56">
        <v>0</v>
      </c>
      <c r="M56">
        <v>1</v>
      </c>
      <c r="N56">
        <v>0</v>
      </c>
      <c r="P56" s="9"/>
    </row>
    <row r="57" spans="1:16" x14ac:dyDescent="0.3">
      <c r="A57">
        <v>2364</v>
      </c>
      <c r="B57" t="s">
        <v>63</v>
      </c>
      <c r="C57">
        <v>3.124857</v>
      </c>
      <c r="D57">
        <v>303932</v>
      </c>
      <c r="E57">
        <v>52.351309999999998</v>
      </c>
      <c r="F57">
        <v>89198.61</v>
      </c>
      <c r="G57">
        <v>0.31294559999999999</v>
      </c>
      <c r="H57">
        <v>10.4</v>
      </c>
      <c r="I57">
        <v>459.2</v>
      </c>
      <c r="J57" s="1">
        <v>42896145.051793933</v>
      </c>
      <c r="K57" s="1">
        <v>93414.950025683647</v>
      </c>
      <c r="L57">
        <v>0</v>
      </c>
      <c r="M57">
        <v>0</v>
      </c>
      <c r="N57">
        <v>1</v>
      </c>
      <c r="O57" s="1">
        <v>7180052</v>
      </c>
      <c r="P57" s="9"/>
    </row>
    <row r="58" spans="1:16" x14ac:dyDescent="0.3">
      <c r="A58">
        <v>2367</v>
      </c>
      <c r="B58" t="s">
        <v>64</v>
      </c>
      <c r="C58">
        <v>3.7570000000000001</v>
      </c>
      <c r="D58">
        <v>36209.61</v>
      </c>
      <c r="E58">
        <v>52.351309999999998</v>
      </c>
      <c r="F58">
        <v>36533.31</v>
      </c>
      <c r="G58">
        <v>0.5099667</v>
      </c>
      <c r="H58">
        <v>10.4</v>
      </c>
      <c r="I58">
        <v>100</v>
      </c>
      <c r="J58" s="1">
        <v>2884658.314813803</v>
      </c>
      <c r="K58" s="1">
        <v>28846.58314813803</v>
      </c>
      <c r="L58">
        <v>0</v>
      </c>
      <c r="M58">
        <v>0</v>
      </c>
      <c r="N58">
        <v>1</v>
      </c>
      <c r="O58" s="1">
        <v>46159824</v>
      </c>
      <c r="P58" s="9"/>
    </row>
    <row r="59" spans="1:16" x14ac:dyDescent="0.3">
      <c r="A59">
        <v>2442</v>
      </c>
      <c r="B59" t="s">
        <v>65</v>
      </c>
      <c r="C59">
        <v>3.068333</v>
      </c>
      <c r="D59">
        <v>6822426</v>
      </c>
      <c r="E59">
        <v>27.704509999999999</v>
      </c>
      <c r="F59">
        <v>2402036</v>
      </c>
      <c r="G59">
        <v>0.34258919999999998</v>
      </c>
      <c r="H59">
        <v>2.6175000000000002</v>
      </c>
      <c r="I59">
        <v>1636.2</v>
      </c>
      <c r="J59" s="1">
        <v>360146100.89766008</v>
      </c>
      <c r="K59" s="1">
        <v>220111.29501140452</v>
      </c>
      <c r="L59">
        <v>1</v>
      </c>
      <c r="M59">
        <v>0</v>
      </c>
      <c r="N59">
        <v>0</v>
      </c>
      <c r="P59" s="9"/>
    </row>
    <row r="60" spans="1:16" x14ac:dyDescent="0.3">
      <c r="A60">
        <v>2712</v>
      </c>
      <c r="B60" t="s">
        <v>66</v>
      </c>
      <c r="C60">
        <v>2.9622540000000002</v>
      </c>
      <c r="D60">
        <v>5198306</v>
      </c>
      <c r="E60">
        <v>27.54674</v>
      </c>
      <c r="F60">
        <v>1655600</v>
      </c>
      <c r="G60">
        <v>0.3297619</v>
      </c>
      <c r="H60">
        <v>5.2591669999999997</v>
      </c>
      <c r="I60">
        <v>2558.1999999999998</v>
      </c>
      <c r="J60" s="1">
        <v>311391211.38550001</v>
      </c>
      <c r="K60" s="1">
        <v>121722.77827593622</v>
      </c>
      <c r="L60">
        <v>0</v>
      </c>
      <c r="M60">
        <v>1</v>
      </c>
      <c r="N60">
        <v>0</v>
      </c>
      <c r="P60" s="9"/>
    </row>
    <row r="61" spans="1:16" x14ac:dyDescent="0.3">
      <c r="A61">
        <v>2718</v>
      </c>
      <c r="B61" t="s">
        <v>67</v>
      </c>
      <c r="C61">
        <v>3.0757400000000001</v>
      </c>
      <c r="D61">
        <v>522482.2</v>
      </c>
      <c r="E61">
        <v>27.54674</v>
      </c>
      <c r="F61">
        <v>148099.20000000001</v>
      </c>
      <c r="G61">
        <v>0.3339666</v>
      </c>
      <c r="H61">
        <v>5.2591669999999997</v>
      </c>
      <c r="I61">
        <v>435.2</v>
      </c>
      <c r="J61" s="1">
        <v>51939248.658459947</v>
      </c>
      <c r="K61" s="1">
        <v>119345.70004241716</v>
      </c>
      <c r="L61">
        <v>0</v>
      </c>
      <c r="M61">
        <v>1</v>
      </c>
      <c r="N61">
        <v>0</v>
      </c>
      <c r="P61" s="9"/>
    </row>
    <row r="62" spans="1:16" x14ac:dyDescent="0.3">
      <c r="A62">
        <v>2727</v>
      </c>
      <c r="B62" t="s">
        <v>68</v>
      </c>
      <c r="C62">
        <v>3.0664470000000001</v>
      </c>
      <c r="D62">
        <v>5044464</v>
      </c>
      <c r="E62">
        <v>27.54674</v>
      </c>
      <c r="F62">
        <v>2073528</v>
      </c>
      <c r="G62">
        <v>0.37164789999999998</v>
      </c>
      <c r="H62">
        <v>5.2591669999999997</v>
      </c>
      <c r="I62">
        <v>1059.5</v>
      </c>
      <c r="J62" s="1">
        <v>337307332.2432009</v>
      </c>
      <c r="K62" s="1">
        <v>318364.63637867005</v>
      </c>
      <c r="L62">
        <v>0</v>
      </c>
      <c r="M62">
        <v>1</v>
      </c>
      <c r="N62">
        <v>0</v>
      </c>
      <c r="O62" s="1">
        <v>48231720</v>
      </c>
      <c r="P62" s="9" t="s">
        <v>460</v>
      </c>
    </row>
    <row r="63" spans="1:16" x14ac:dyDescent="0.3">
      <c r="A63">
        <v>2817</v>
      </c>
      <c r="B63" t="s">
        <v>69</v>
      </c>
      <c r="C63">
        <v>1.514</v>
      </c>
      <c r="D63">
        <v>3233368</v>
      </c>
      <c r="E63">
        <v>25.497199999999999</v>
      </c>
      <c r="F63">
        <v>930418.1</v>
      </c>
      <c r="G63">
        <v>0.29423939999999998</v>
      </c>
      <c r="H63">
        <v>2.8033329999999999</v>
      </c>
      <c r="I63">
        <v>656</v>
      </c>
      <c r="J63" s="1">
        <v>271001113.44491369</v>
      </c>
      <c r="K63" s="1">
        <v>413111.4534221245</v>
      </c>
      <c r="L63">
        <v>0</v>
      </c>
      <c r="M63">
        <v>1</v>
      </c>
      <c r="N63">
        <v>0</v>
      </c>
      <c r="O63" s="1">
        <v>6241110</v>
      </c>
      <c r="P63" s="9" t="s">
        <v>460</v>
      </c>
    </row>
    <row r="64" spans="1:16" x14ac:dyDescent="0.3">
      <c r="A64">
        <v>2823</v>
      </c>
      <c r="B64" t="s">
        <v>70</v>
      </c>
      <c r="C64">
        <v>1.647767</v>
      </c>
      <c r="D64">
        <v>4461951</v>
      </c>
      <c r="E64">
        <v>25.497199999999999</v>
      </c>
      <c r="F64">
        <v>1303083</v>
      </c>
      <c r="G64">
        <v>0.29937019999999998</v>
      </c>
      <c r="H64">
        <v>2.8033329999999999</v>
      </c>
      <c r="I64">
        <v>734</v>
      </c>
      <c r="J64" s="1">
        <v>244674219.0016104</v>
      </c>
      <c r="K64" s="1">
        <v>333343.62261799781</v>
      </c>
      <c r="L64">
        <v>0</v>
      </c>
      <c r="M64">
        <v>1</v>
      </c>
      <c r="N64">
        <v>0</v>
      </c>
      <c r="O64" s="1">
        <v>36216456</v>
      </c>
      <c r="P64" s="9" t="s">
        <v>458</v>
      </c>
    </row>
    <row r="65" spans="1:16" x14ac:dyDescent="0.3">
      <c r="A65">
        <v>2828</v>
      </c>
      <c r="B65" t="s">
        <v>71</v>
      </c>
      <c r="C65">
        <v>1.991833</v>
      </c>
      <c r="D65">
        <v>8153049</v>
      </c>
      <c r="E65">
        <v>28.911960000000001</v>
      </c>
      <c r="F65">
        <v>2818378</v>
      </c>
      <c r="G65">
        <v>0.34611439999999999</v>
      </c>
      <c r="H65">
        <v>2.5299999999999998</v>
      </c>
      <c r="I65">
        <v>1880.4</v>
      </c>
      <c r="J65" s="1">
        <v>328227907.9511677</v>
      </c>
      <c r="K65" s="1">
        <v>174552.17397956163</v>
      </c>
      <c r="L65">
        <v>1</v>
      </c>
      <c r="M65">
        <v>0</v>
      </c>
      <c r="N65">
        <v>0</v>
      </c>
      <c r="O65" s="1">
        <v>-2020214</v>
      </c>
      <c r="P65" s="9" t="s">
        <v>458</v>
      </c>
    </row>
    <row r="66" spans="1:16" x14ac:dyDescent="0.3">
      <c r="A66">
        <v>2832</v>
      </c>
      <c r="B66" t="s">
        <v>72</v>
      </c>
      <c r="C66">
        <v>1.991833</v>
      </c>
      <c r="D66">
        <v>5561621</v>
      </c>
      <c r="E66">
        <v>28.911960000000001</v>
      </c>
      <c r="F66">
        <v>1824656</v>
      </c>
      <c r="G66">
        <v>0.33276030000000001</v>
      </c>
      <c r="H66">
        <v>2.5299999999999998</v>
      </c>
      <c r="I66">
        <v>1114.8</v>
      </c>
      <c r="J66" s="1">
        <v>311664901.48257011</v>
      </c>
      <c r="K66" s="1">
        <v>279570.23814367614</v>
      </c>
      <c r="L66">
        <v>1</v>
      </c>
      <c r="M66">
        <v>0</v>
      </c>
      <c r="N66">
        <v>0</v>
      </c>
      <c r="O66" s="1">
        <v>671368</v>
      </c>
      <c r="P66" s="9" t="s">
        <v>458</v>
      </c>
    </row>
    <row r="67" spans="1:16" x14ac:dyDescent="0.3">
      <c r="A67">
        <v>2866</v>
      </c>
      <c r="B67" t="s">
        <v>73</v>
      </c>
      <c r="C67">
        <v>1.991833</v>
      </c>
      <c r="D67">
        <v>4459727</v>
      </c>
      <c r="E67">
        <v>28.911960000000001</v>
      </c>
      <c r="F67">
        <v>1332544</v>
      </c>
      <c r="G67">
        <v>0.31529230000000003</v>
      </c>
      <c r="H67">
        <v>2.5299999999999998</v>
      </c>
      <c r="I67">
        <v>1694</v>
      </c>
      <c r="J67" s="1">
        <v>274908479.25954002</v>
      </c>
      <c r="K67" s="1">
        <v>162283.63592652895</v>
      </c>
      <c r="L67">
        <v>1</v>
      </c>
      <c r="M67">
        <v>0</v>
      </c>
      <c r="N67">
        <v>0</v>
      </c>
      <c r="O67" s="1">
        <v>-8899901</v>
      </c>
      <c r="P67" s="9" t="s">
        <v>460</v>
      </c>
    </row>
    <row r="68" spans="1:16" x14ac:dyDescent="0.3">
      <c r="A68">
        <v>2876</v>
      </c>
      <c r="B68" t="s">
        <v>74</v>
      </c>
      <c r="C68">
        <v>1.9889269999999999</v>
      </c>
      <c r="D68">
        <v>4683721</v>
      </c>
      <c r="E68">
        <v>28.911960000000001</v>
      </c>
      <c r="F68">
        <v>1491703</v>
      </c>
      <c r="G68">
        <v>0.3276462</v>
      </c>
      <c r="H68">
        <v>2.5299999999999998</v>
      </c>
      <c r="I68">
        <v>1086.5</v>
      </c>
      <c r="J68" s="1">
        <v>303471627.28671211</v>
      </c>
      <c r="K68" s="1">
        <v>279311.20781105576</v>
      </c>
      <c r="L68">
        <v>1</v>
      </c>
      <c r="M68">
        <v>0</v>
      </c>
      <c r="N68">
        <v>0</v>
      </c>
      <c r="O68" s="1">
        <v>-2088474</v>
      </c>
      <c r="P68" s="9" t="s">
        <v>460</v>
      </c>
    </row>
    <row r="69" spans="1:16" x14ac:dyDescent="0.3">
      <c r="A69">
        <v>2914</v>
      </c>
      <c r="B69" t="s">
        <v>75</v>
      </c>
      <c r="C69">
        <v>1.991833</v>
      </c>
      <c r="D69">
        <v>82957.460000000006</v>
      </c>
      <c r="E69">
        <v>28.911960000000001</v>
      </c>
      <c r="F69">
        <v>17020.82</v>
      </c>
      <c r="G69">
        <v>0.2111364</v>
      </c>
      <c r="H69">
        <v>2.5299999999999998</v>
      </c>
      <c r="I69">
        <v>27.5</v>
      </c>
      <c r="J69" s="1">
        <v>7691410.7162448633</v>
      </c>
      <c r="K69" s="1">
        <v>279687.66240890411</v>
      </c>
      <c r="L69">
        <v>0</v>
      </c>
      <c r="M69">
        <v>1</v>
      </c>
      <c r="N69">
        <v>0</v>
      </c>
      <c r="P69" s="9"/>
    </row>
    <row r="70" spans="1:16" x14ac:dyDescent="0.3">
      <c r="A70">
        <v>2935</v>
      </c>
      <c r="B70" t="s">
        <v>76</v>
      </c>
      <c r="C70">
        <v>1.991833</v>
      </c>
      <c r="D70">
        <v>44508.68</v>
      </c>
      <c r="E70">
        <v>28.911960000000001</v>
      </c>
      <c r="F70">
        <v>7508.7889999999998</v>
      </c>
      <c r="G70">
        <v>0.18948590000000001</v>
      </c>
      <c r="H70">
        <v>2.5299999999999998</v>
      </c>
      <c r="I70">
        <v>59.5</v>
      </c>
      <c r="J70" s="1">
        <v>4362371.9281373248</v>
      </c>
      <c r="K70" s="1">
        <v>73317.175262812176</v>
      </c>
      <c r="L70">
        <v>0</v>
      </c>
      <c r="M70">
        <v>1</v>
      </c>
      <c r="N70">
        <v>0</v>
      </c>
      <c r="P70" s="9"/>
    </row>
    <row r="71" spans="1:16" x14ac:dyDescent="0.3">
      <c r="A71">
        <v>2936</v>
      </c>
      <c r="B71" t="s">
        <v>77</v>
      </c>
      <c r="C71">
        <v>3.3006410000000002</v>
      </c>
      <c r="D71">
        <v>4487.6970000000001</v>
      </c>
      <c r="E71">
        <v>28.911960000000001</v>
      </c>
      <c r="F71">
        <v>491.27109999999999</v>
      </c>
      <c r="G71">
        <v>0.24031430000000001</v>
      </c>
      <c r="H71">
        <v>2.5299999999999998</v>
      </c>
      <c r="I71">
        <v>53.5</v>
      </c>
      <c r="J71" s="1">
        <v>3425418.9061536971</v>
      </c>
      <c r="K71" s="1">
        <v>64026.521610349475</v>
      </c>
      <c r="L71">
        <v>0</v>
      </c>
      <c r="M71">
        <v>0</v>
      </c>
      <c r="N71">
        <v>1</v>
      </c>
      <c r="P71" s="9"/>
    </row>
    <row r="72" spans="1:16" x14ac:dyDescent="0.3">
      <c r="A72">
        <v>2952</v>
      </c>
      <c r="B72" t="s">
        <v>78</v>
      </c>
      <c r="C72">
        <v>2.0446589999999998</v>
      </c>
      <c r="D72">
        <v>1822851</v>
      </c>
      <c r="E72">
        <v>24.509060000000002</v>
      </c>
      <c r="F72">
        <v>781987.3</v>
      </c>
      <c r="G72">
        <v>0.32288420000000001</v>
      </c>
      <c r="H72">
        <v>3.1266669999999999</v>
      </c>
      <c r="I72">
        <v>572</v>
      </c>
      <c r="J72" s="1">
        <v>174163291.0608933</v>
      </c>
      <c r="K72" s="1">
        <v>304481.27807848476</v>
      </c>
      <c r="L72">
        <v>0</v>
      </c>
      <c r="M72">
        <v>1</v>
      </c>
      <c r="N72">
        <v>0</v>
      </c>
      <c r="O72" s="1">
        <v>14949818</v>
      </c>
      <c r="P72" s="9" t="s">
        <v>460</v>
      </c>
    </row>
    <row r="73" spans="1:16" x14ac:dyDescent="0.3">
      <c r="A73">
        <v>2963</v>
      </c>
      <c r="B73" t="s">
        <v>79</v>
      </c>
      <c r="C73">
        <v>1.6487229999999999</v>
      </c>
      <c r="D73">
        <v>1888983</v>
      </c>
      <c r="E73">
        <v>24.509060000000002</v>
      </c>
      <c r="F73">
        <v>622412.69999999995</v>
      </c>
      <c r="G73">
        <v>0.33297399999999999</v>
      </c>
      <c r="H73">
        <v>3.1266669999999999</v>
      </c>
      <c r="I73">
        <v>473</v>
      </c>
      <c r="J73" s="1">
        <v>159057567.1965434</v>
      </c>
      <c r="K73" s="1">
        <v>336273.92641975346</v>
      </c>
      <c r="L73">
        <v>0</v>
      </c>
      <c r="M73">
        <v>1</v>
      </c>
      <c r="N73">
        <v>0</v>
      </c>
      <c r="P73" s="9"/>
    </row>
    <row r="74" spans="1:16" x14ac:dyDescent="0.3">
      <c r="A74">
        <v>3118</v>
      </c>
      <c r="B74" t="s">
        <v>80</v>
      </c>
      <c r="C74">
        <v>3.278</v>
      </c>
      <c r="D74">
        <v>7023069</v>
      </c>
      <c r="E74">
        <v>30.118929999999999</v>
      </c>
      <c r="F74">
        <v>2442912</v>
      </c>
      <c r="G74">
        <v>0.3527245</v>
      </c>
      <c r="H74">
        <v>2.1033330000000001</v>
      </c>
      <c r="I74">
        <v>1951</v>
      </c>
      <c r="J74" s="1">
        <v>266739006.97236121</v>
      </c>
      <c r="K74" s="1">
        <v>136719.12197455726</v>
      </c>
      <c r="L74">
        <v>1</v>
      </c>
      <c r="M74">
        <v>0</v>
      </c>
      <c r="N74">
        <v>0</v>
      </c>
      <c r="P74" s="9"/>
    </row>
    <row r="75" spans="1:16" x14ac:dyDescent="0.3">
      <c r="A75">
        <v>3122</v>
      </c>
      <c r="B75" t="s">
        <v>81</v>
      </c>
      <c r="C75">
        <v>3.278</v>
      </c>
      <c r="D75">
        <v>4075807</v>
      </c>
      <c r="E75">
        <v>30.118929999999999</v>
      </c>
      <c r="F75">
        <v>1289949</v>
      </c>
      <c r="G75">
        <v>0.33392759999999999</v>
      </c>
      <c r="H75">
        <v>2.1033330000000001</v>
      </c>
      <c r="I75">
        <v>2012</v>
      </c>
      <c r="J75" s="1">
        <v>234747740.74211511</v>
      </c>
      <c r="K75" s="1">
        <v>116673.82740661784</v>
      </c>
      <c r="L75">
        <v>1</v>
      </c>
      <c r="M75">
        <v>0</v>
      </c>
      <c r="N75">
        <v>0</v>
      </c>
      <c r="O75" s="1">
        <v>108815216</v>
      </c>
      <c r="P75" s="9" t="s">
        <v>460</v>
      </c>
    </row>
    <row r="76" spans="1:16" x14ac:dyDescent="0.3">
      <c r="A76">
        <v>3130</v>
      </c>
      <c r="B76" t="s">
        <v>82</v>
      </c>
      <c r="C76">
        <v>3.278</v>
      </c>
      <c r="D76">
        <v>2260077</v>
      </c>
      <c r="E76">
        <v>30.118929999999999</v>
      </c>
      <c r="F76">
        <v>692987.4</v>
      </c>
      <c r="G76">
        <v>0.313027</v>
      </c>
      <c r="H76">
        <v>2.1033330000000001</v>
      </c>
      <c r="I76">
        <v>585</v>
      </c>
      <c r="J76" s="1">
        <v>206637876.87052691</v>
      </c>
      <c r="K76" s="1">
        <v>353227.13994961866</v>
      </c>
      <c r="L76">
        <v>1</v>
      </c>
      <c r="M76">
        <v>0</v>
      </c>
      <c r="N76">
        <v>0</v>
      </c>
      <c r="P76" s="9"/>
    </row>
    <row r="77" spans="1:16" x14ac:dyDescent="0.3">
      <c r="A77">
        <v>3136</v>
      </c>
      <c r="B77" t="s">
        <v>83</v>
      </c>
      <c r="C77">
        <v>3.278</v>
      </c>
      <c r="D77">
        <v>7225509</v>
      </c>
      <c r="E77">
        <v>30.118929999999999</v>
      </c>
      <c r="F77">
        <v>2457032</v>
      </c>
      <c r="G77">
        <v>0.35144930000000002</v>
      </c>
      <c r="H77">
        <v>2.1033330000000001</v>
      </c>
      <c r="I77">
        <v>1872</v>
      </c>
      <c r="J77" s="1">
        <v>260892386.16539049</v>
      </c>
      <c r="K77" s="1">
        <v>139365.59090031544</v>
      </c>
      <c r="L77">
        <v>1</v>
      </c>
      <c r="M77">
        <v>0</v>
      </c>
      <c r="N77">
        <v>0</v>
      </c>
      <c r="P77" s="9"/>
    </row>
    <row r="78" spans="1:16" x14ac:dyDescent="0.3">
      <c r="A78">
        <v>3149</v>
      </c>
      <c r="B78" t="s">
        <v>84</v>
      </c>
      <c r="C78">
        <v>3.278</v>
      </c>
      <c r="D78">
        <v>1157181</v>
      </c>
      <c r="E78">
        <v>30.118929999999999</v>
      </c>
      <c r="F78">
        <v>365129.1</v>
      </c>
      <c r="G78">
        <v>0.34850979999999998</v>
      </c>
      <c r="H78">
        <v>2.1033330000000001</v>
      </c>
      <c r="I78">
        <v>1757.9</v>
      </c>
      <c r="J78" s="1">
        <v>66744512.12210995</v>
      </c>
      <c r="K78" s="1">
        <v>37968.321361914757</v>
      </c>
      <c r="L78">
        <v>1</v>
      </c>
      <c r="M78">
        <v>0</v>
      </c>
      <c r="N78">
        <v>0</v>
      </c>
      <c r="P78" s="9"/>
    </row>
    <row r="79" spans="1:16" x14ac:dyDescent="0.3">
      <c r="A79">
        <v>3297</v>
      </c>
      <c r="B79" t="s">
        <v>85</v>
      </c>
      <c r="C79">
        <v>3.322362</v>
      </c>
      <c r="D79">
        <v>1712566</v>
      </c>
      <c r="E79">
        <v>29.409210000000002</v>
      </c>
      <c r="F79">
        <v>570666.9</v>
      </c>
      <c r="G79">
        <v>0.33544079999999998</v>
      </c>
      <c r="H79">
        <v>4.0083330000000004</v>
      </c>
      <c r="I79">
        <v>771.8</v>
      </c>
      <c r="J79" s="1">
        <v>165145312.8868522</v>
      </c>
      <c r="K79" s="1">
        <v>213974.23281530477</v>
      </c>
      <c r="L79">
        <v>0</v>
      </c>
      <c r="M79">
        <v>1</v>
      </c>
      <c r="N79">
        <v>0</v>
      </c>
      <c r="P79" s="9"/>
    </row>
    <row r="80" spans="1:16" x14ac:dyDescent="0.3">
      <c r="A80">
        <v>3298</v>
      </c>
      <c r="B80" t="s">
        <v>86</v>
      </c>
      <c r="C80">
        <v>3.6393450000000001</v>
      </c>
      <c r="D80">
        <v>2083855</v>
      </c>
      <c r="E80">
        <v>29.409210000000002</v>
      </c>
      <c r="F80">
        <v>703697.3</v>
      </c>
      <c r="G80">
        <v>0.3499545</v>
      </c>
      <c r="H80">
        <v>4.0083330000000004</v>
      </c>
      <c r="I80">
        <v>659.7</v>
      </c>
      <c r="J80" s="1">
        <v>165866923.5372667</v>
      </c>
      <c r="K80" s="1">
        <v>251427.80587731799</v>
      </c>
      <c r="L80">
        <v>1</v>
      </c>
      <c r="M80">
        <v>0</v>
      </c>
      <c r="N80">
        <v>0</v>
      </c>
      <c r="O80" s="1">
        <v>69367784</v>
      </c>
      <c r="P80" s="9" t="s">
        <v>457</v>
      </c>
    </row>
    <row r="81" spans="1:16" x14ac:dyDescent="0.3">
      <c r="A81">
        <v>3399</v>
      </c>
      <c r="B81" t="s">
        <v>87</v>
      </c>
      <c r="C81">
        <v>2.1166749999999999</v>
      </c>
      <c r="D81">
        <v>7988476</v>
      </c>
      <c r="E81">
        <v>28.94567</v>
      </c>
      <c r="F81">
        <v>2665420</v>
      </c>
      <c r="G81">
        <v>0.33981460000000002</v>
      </c>
      <c r="H81">
        <v>2.8841670000000001</v>
      </c>
      <c r="I81">
        <v>2600</v>
      </c>
      <c r="J81" s="1">
        <v>406226146.05804598</v>
      </c>
      <c r="K81" s="1">
        <v>156240.82540694077</v>
      </c>
      <c r="L81">
        <v>1</v>
      </c>
      <c r="M81">
        <v>0</v>
      </c>
      <c r="N81">
        <v>0</v>
      </c>
      <c r="P81" s="9"/>
    </row>
    <row r="82" spans="1:16" x14ac:dyDescent="0.3">
      <c r="A82">
        <v>3403</v>
      </c>
      <c r="B82" t="s">
        <v>88</v>
      </c>
      <c r="C82">
        <v>2.3111670000000002</v>
      </c>
      <c r="D82">
        <v>3625797</v>
      </c>
      <c r="E82">
        <v>28.94567</v>
      </c>
      <c r="F82">
        <v>1122173</v>
      </c>
      <c r="G82">
        <v>0.3279668</v>
      </c>
      <c r="H82">
        <v>2.8841670000000001</v>
      </c>
      <c r="I82">
        <v>1255.2</v>
      </c>
      <c r="J82" s="1">
        <v>213555964.25065371</v>
      </c>
      <c r="K82" s="1">
        <v>170137.00147438952</v>
      </c>
      <c r="L82">
        <v>1</v>
      </c>
      <c r="M82">
        <v>0</v>
      </c>
      <c r="N82">
        <v>0</v>
      </c>
      <c r="P82" s="9"/>
    </row>
    <row r="83" spans="1:16" x14ac:dyDescent="0.3">
      <c r="A83">
        <v>3407</v>
      </c>
      <c r="B83" t="s">
        <v>89</v>
      </c>
      <c r="C83">
        <v>2.454199</v>
      </c>
      <c r="D83">
        <v>2695206</v>
      </c>
      <c r="E83">
        <v>28.94567</v>
      </c>
      <c r="F83">
        <v>782030.9</v>
      </c>
      <c r="G83">
        <v>0.31521840000000001</v>
      </c>
      <c r="H83">
        <v>2.8841670000000001</v>
      </c>
      <c r="I83">
        <v>1700</v>
      </c>
      <c r="J83" s="1">
        <v>256541653.305861</v>
      </c>
      <c r="K83" s="1">
        <v>150906.8548858006</v>
      </c>
      <c r="L83">
        <v>0</v>
      </c>
      <c r="M83">
        <v>1</v>
      </c>
      <c r="N83">
        <v>0</v>
      </c>
      <c r="O83" s="1">
        <v>8589734</v>
      </c>
      <c r="P83" s="9" t="s">
        <v>457</v>
      </c>
    </row>
    <row r="84" spans="1:16" x14ac:dyDescent="0.3">
      <c r="A84">
        <v>3470</v>
      </c>
      <c r="B84" t="s">
        <v>90</v>
      </c>
      <c r="C84">
        <v>2.102833</v>
      </c>
      <c r="D84">
        <v>11200000</v>
      </c>
      <c r="E84">
        <v>26.15709</v>
      </c>
      <c r="F84">
        <v>3597563</v>
      </c>
      <c r="G84">
        <v>0.32795609999999997</v>
      </c>
      <c r="H84">
        <v>2.7158329999999999</v>
      </c>
      <c r="I84">
        <v>2736.8</v>
      </c>
      <c r="J84" s="1">
        <v>382771782.83586818</v>
      </c>
      <c r="K84" s="1">
        <v>139861.07236037275</v>
      </c>
      <c r="L84">
        <v>1</v>
      </c>
      <c r="M84">
        <v>0</v>
      </c>
      <c r="N84">
        <v>0</v>
      </c>
      <c r="O84" s="1">
        <v>4270778</v>
      </c>
      <c r="P84" s="9" t="s">
        <v>460</v>
      </c>
    </row>
    <row r="85" spans="1:16" x14ac:dyDescent="0.3">
      <c r="A85">
        <v>3797</v>
      </c>
      <c r="B85" t="s">
        <v>91</v>
      </c>
      <c r="C85">
        <v>2.688882</v>
      </c>
      <c r="D85">
        <v>1179552</v>
      </c>
      <c r="E85">
        <v>28.113340000000001</v>
      </c>
      <c r="F85">
        <v>397105.4</v>
      </c>
      <c r="G85">
        <v>0.33603309999999997</v>
      </c>
      <c r="H85">
        <v>3.8466670000000001</v>
      </c>
      <c r="I85">
        <v>1052.9000000000001</v>
      </c>
      <c r="J85" s="1">
        <v>69595072.505738869</v>
      </c>
      <c r="K85" s="1">
        <v>66098.463772190007</v>
      </c>
      <c r="L85">
        <v>1</v>
      </c>
      <c r="M85">
        <v>0</v>
      </c>
      <c r="N85">
        <v>0</v>
      </c>
      <c r="P85" s="9"/>
    </row>
    <row r="86" spans="1:16" x14ac:dyDescent="0.3">
      <c r="A86">
        <v>3935</v>
      </c>
      <c r="B86" t="s">
        <v>92</v>
      </c>
      <c r="C86">
        <v>2.2435239999999999</v>
      </c>
      <c r="D86">
        <v>8758201</v>
      </c>
      <c r="E86">
        <v>26.133649999999999</v>
      </c>
      <c r="F86">
        <v>2988294</v>
      </c>
      <c r="G86">
        <v>0.34424500000000002</v>
      </c>
      <c r="H86">
        <v>3.4075000000000002</v>
      </c>
      <c r="I86">
        <v>2932.6</v>
      </c>
      <c r="J86" s="1">
        <v>416245541.40980351</v>
      </c>
      <c r="K86" s="1">
        <v>141937.37346034357</v>
      </c>
      <c r="L86">
        <v>1</v>
      </c>
      <c r="M86">
        <v>0</v>
      </c>
      <c r="N86">
        <v>0</v>
      </c>
      <c r="P86" s="9"/>
    </row>
    <row r="87" spans="1:16" x14ac:dyDescent="0.3">
      <c r="A87">
        <v>3943</v>
      </c>
      <c r="B87" t="s">
        <v>93</v>
      </c>
      <c r="C87">
        <v>2.3012060000000001</v>
      </c>
      <c r="D87">
        <v>4972688</v>
      </c>
      <c r="E87">
        <v>26.133649999999999</v>
      </c>
      <c r="F87">
        <v>1589521</v>
      </c>
      <c r="G87">
        <v>0.3329048</v>
      </c>
      <c r="H87">
        <v>3.4075000000000002</v>
      </c>
      <c r="I87">
        <v>1152</v>
      </c>
      <c r="J87" s="1">
        <v>304013295.20339012</v>
      </c>
      <c r="K87" s="1">
        <v>263900.42986405391</v>
      </c>
      <c r="L87">
        <v>1</v>
      </c>
      <c r="M87">
        <v>0</v>
      </c>
      <c r="N87">
        <v>0</v>
      </c>
      <c r="P87" s="9"/>
    </row>
    <row r="88" spans="1:16" x14ac:dyDescent="0.3">
      <c r="A88">
        <v>3944</v>
      </c>
      <c r="B88" t="s">
        <v>94</v>
      </c>
      <c r="C88">
        <v>1.9917499999999999</v>
      </c>
      <c r="D88">
        <v>10200000</v>
      </c>
      <c r="E88">
        <v>26.133649999999999</v>
      </c>
      <c r="F88">
        <v>3444825</v>
      </c>
      <c r="G88">
        <v>0.33938420000000002</v>
      </c>
      <c r="H88">
        <v>3.4075000000000002</v>
      </c>
      <c r="I88">
        <v>2052</v>
      </c>
      <c r="J88" s="1">
        <v>341127599.4238885</v>
      </c>
      <c r="K88" s="1">
        <v>166241.52018708017</v>
      </c>
      <c r="L88">
        <v>1</v>
      </c>
      <c r="M88">
        <v>0</v>
      </c>
      <c r="N88">
        <v>0</v>
      </c>
      <c r="P88" s="9"/>
    </row>
    <row r="89" spans="1:16" x14ac:dyDescent="0.3">
      <c r="A89">
        <v>3948</v>
      </c>
      <c r="B89" t="s">
        <v>95</v>
      </c>
      <c r="C89">
        <v>2.310127</v>
      </c>
      <c r="D89">
        <v>3968562</v>
      </c>
      <c r="E89">
        <v>26.133649999999999</v>
      </c>
      <c r="F89">
        <v>1275332</v>
      </c>
      <c r="G89">
        <v>0.34428930000000002</v>
      </c>
      <c r="H89">
        <v>3.4075000000000002</v>
      </c>
      <c r="I89">
        <v>1632.6</v>
      </c>
      <c r="J89" s="1">
        <v>280905525.65730751</v>
      </c>
      <c r="K89" s="1">
        <v>172060.22642245959</v>
      </c>
      <c r="L89">
        <v>0</v>
      </c>
      <c r="M89">
        <v>1</v>
      </c>
      <c r="N89">
        <v>0</v>
      </c>
      <c r="P89" s="9"/>
    </row>
    <row r="90" spans="1:16" x14ac:dyDescent="0.3">
      <c r="A90">
        <v>3954</v>
      </c>
      <c r="B90" t="s">
        <v>96</v>
      </c>
      <c r="C90">
        <v>2.788818</v>
      </c>
      <c r="D90">
        <v>4354695</v>
      </c>
      <c r="E90">
        <v>26.133649999999999</v>
      </c>
      <c r="F90">
        <v>1417607</v>
      </c>
      <c r="G90">
        <v>0.33533380000000002</v>
      </c>
      <c r="H90">
        <v>3.4075000000000002</v>
      </c>
      <c r="I90">
        <v>1662.4</v>
      </c>
      <c r="J90" s="1">
        <v>237166051.65870711</v>
      </c>
      <c r="K90" s="1">
        <v>142664.85301895277</v>
      </c>
      <c r="L90">
        <v>1</v>
      </c>
      <c r="M90">
        <v>0</v>
      </c>
      <c r="N90">
        <v>0</v>
      </c>
      <c r="P90" s="9"/>
    </row>
    <row r="91" spans="1:16" x14ac:dyDescent="0.3">
      <c r="A91">
        <v>4041</v>
      </c>
      <c r="B91" t="s">
        <v>97</v>
      </c>
      <c r="C91">
        <v>2.0439069999999999</v>
      </c>
      <c r="D91">
        <v>3390850</v>
      </c>
      <c r="E91">
        <v>32.221710000000002</v>
      </c>
      <c r="F91">
        <v>1109037</v>
      </c>
      <c r="G91">
        <v>0.33575060000000001</v>
      </c>
      <c r="H91">
        <v>3.8558330000000001</v>
      </c>
      <c r="I91">
        <v>1240</v>
      </c>
      <c r="J91" s="1">
        <v>216949638.62530899</v>
      </c>
      <c r="K91" s="1">
        <v>174959.38598815241</v>
      </c>
      <c r="L91">
        <v>1</v>
      </c>
      <c r="M91">
        <v>0</v>
      </c>
      <c r="N91">
        <v>0</v>
      </c>
      <c r="O91" s="1">
        <v>-1384706</v>
      </c>
      <c r="P91" s="9" t="s">
        <v>459</v>
      </c>
    </row>
    <row r="92" spans="1:16" x14ac:dyDescent="0.3">
      <c r="A92">
        <v>4050</v>
      </c>
      <c r="B92" t="s">
        <v>98</v>
      </c>
      <c r="C92">
        <v>2.2848440000000001</v>
      </c>
      <c r="D92">
        <v>1784935</v>
      </c>
      <c r="E92">
        <v>32.221710000000002</v>
      </c>
      <c r="F92">
        <v>572709.30000000005</v>
      </c>
      <c r="G92">
        <v>0.32852940000000003</v>
      </c>
      <c r="H92">
        <v>3.8558330000000001</v>
      </c>
      <c r="I92">
        <v>413.7</v>
      </c>
      <c r="J92" s="1">
        <v>169454655.9392491</v>
      </c>
      <c r="K92" s="1">
        <v>409607.58022540272</v>
      </c>
      <c r="L92">
        <v>0</v>
      </c>
      <c r="M92">
        <v>1</v>
      </c>
      <c r="N92">
        <v>0</v>
      </c>
      <c r="P92" s="9"/>
    </row>
    <row r="93" spans="1:16" x14ac:dyDescent="0.3">
      <c r="A93">
        <v>4078</v>
      </c>
      <c r="B93" t="s">
        <v>99</v>
      </c>
      <c r="C93">
        <v>2.2603589999999998</v>
      </c>
      <c r="D93">
        <v>3566380</v>
      </c>
      <c r="E93">
        <v>32.221710000000002</v>
      </c>
      <c r="F93">
        <v>1264312</v>
      </c>
      <c r="G93">
        <v>0.3494063</v>
      </c>
      <c r="H93">
        <v>3.8558330000000001</v>
      </c>
      <c r="I93">
        <v>945.5</v>
      </c>
      <c r="J93" s="1">
        <v>223684411.2850652</v>
      </c>
      <c r="K93" s="1">
        <v>236577.90722904835</v>
      </c>
      <c r="L93">
        <v>1</v>
      </c>
      <c r="M93">
        <v>0</v>
      </c>
      <c r="N93">
        <v>0</v>
      </c>
      <c r="O93" s="1">
        <v>3482562</v>
      </c>
      <c r="P93" s="9" t="s">
        <v>459</v>
      </c>
    </row>
    <row r="94" spans="1:16" x14ac:dyDescent="0.3">
      <c r="A94">
        <v>4158</v>
      </c>
      <c r="B94" t="s">
        <v>100</v>
      </c>
      <c r="C94">
        <v>1.0190429999999999</v>
      </c>
      <c r="D94">
        <v>3944508</v>
      </c>
      <c r="E94">
        <v>24.022069999999999</v>
      </c>
      <c r="F94">
        <v>1193945</v>
      </c>
      <c r="G94">
        <v>0.30373519999999998</v>
      </c>
      <c r="H94">
        <v>6.55</v>
      </c>
      <c r="I94">
        <v>922.2</v>
      </c>
      <c r="J94" s="1">
        <v>282467219.2062664</v>
      </c>
      <c r="K94" s="1">
        <v>306297.13641972066</v>
      </c>
      <c r="L94">
        <v>0</v>
      </c>
      <c r="M94">
        <v>1</v>
      </c>
      <c r="N94">
        <v>0</v>
      </c>
      <c r="O94" s="1">
        <v>4097204</v>
      </c>
      <c r="P94" s="9" t="s">
        <v>459</v>
      </c>
    </row>
    <row r="95" spans="1:16" x14ac:dyDescent="0.3">
      <c r="A95">
        <v>4162</v>
      </c>
      <c r="B95" t="s">
        <v>101</v>
      </c>
      <c r="C95">
        <v>2.3930169999999999</v>
      </c>
      <c r="D95">
        <v>2589200</v>
      </c>
      <c r="E95">
        <v>24.022069999999999</v>
      </c>
      <c r="F95">
        <v>869629.4</v>
      </c>
      <c r="G95">
        <v>0.32071119999999997</v>
      </c>
      <c r="H95">
        <v>6.55</v>
      </c>
      <c r="I95">
        <v>448</v>
      </c>
      <c r="J95" s="1">
        <v>263249651.38468039</v>
      </c>
      <c r="K95" s="1">
        <v>587610.8289836616</v>
      </c>
      <c r="L95">
        <v>0</v>
      </c>
      <c r="M95">
        <v>0</v>
      </c>
      <c r="N95">
        <v>1</v>
      </c>
      <c r="O95" s="1">
        <v>2505254</v>
      </c>
      <c r="P95" s="9" t="s">
        <v>460</v>
      </c>
    </row>
    <row r="96" spans="1:16" x14ac:dyDescent="0.3">
      <c r="A96">
        <v>4271</v>
      </c>
      <c r="B96" t="s">
        <v>102</v>
      </c>
      <c r="C96">
        <v>2.450062</v>
      </c>
      <c r="D96">
        <v>1646898</v>
      </c>
      <c r="E96">
        <v>32.221710000000002</v>
      </c>
      <c r="F96">
        <v>493402.1</v>
      </c>
      <c r="G96">
        <v>0.31195689999999998</v>
      </c>
      <c r="H96">
        <v>3.8558330000000001</v>
      </c>
      <c r="I96">
        <v>387</v>
      </c>
      <c r="J96" s="1">
        <v>152292624.44835001</v>
      </c>
      <c r="K96" s="1">
        <v>393520.9934065892</v>
      </c>
      <c r="L96">
        <v>0</v>
      </c>
      <c r="M96">
        <v>1</v>
      </c>
      <c r="N96">
        <v>0</v>
      </c>
      <c r="O96" s="1">
        <v>-745422</v>
      </c>
      <c r="P96" s="9" t="s">
        <v>458</v>
      </c>
    </row>
    <row r="97" spans="1:16" x14ac:dyDescent="0.3">
      <c r="A97">
        <v>6002</v>
      </c>
      <c r="B97" t="s">
        <v>103</v>
      </c>
      <c r="C97">
        <v>1.832433</v>
      </c>
      <c r="D97">
        <v>15600000</v>
      </c>
      <c r="E97">
        <v>29.827809999999999</v>
      </c>
      <c r="F97">
        <v>5394220</v>
      </c>
      <c r="G97">
        <v>0.33928910000000001</v>
      </c>
      <c r="H97">
        <v>3.2075</v>
      </c>
      <c r="I97">
        <v>2822</v>
      </c>
      <c r="J97" s="1">
        <v>351759369.36985463</v>
      </c>
      <c r="K97" s="1">
        <v>124648.96150597258</v>
      </c>
      <c r="L97">
        <v>1</v>
      </c>
      <c r="M97">
        <v>0</v>
      </c>
      <c r="N97">
        <v>0</v>
      </c>
      <c r="O97" s="1">
        <v>29236682</v>
      </c>
      <c r="P97" s="9" t="s">
        <v>458</v>
      </c>
    </row>
    <row r="98" spans="1:16" x14ac:dyDescent="0.3">
      <c r="A98">
        <v>6004</v>
      </c>
      <c r="B98" t="s">
        <v>104</v>
      </c>
      <c r="C98">
        <v>2.1786669999999999</v>
      </c>
      <c r="D98">
        <v>5716964</v>
      </c>
      <c r="E98">
        <v>26.133649999999999</v>
      </c>
      <c r="F98">
        <v>1849995</v>
      </c>
      <c r="G98">
        <v>0.33109149999999998</v>
      </c>
      <c r="H98">
        <v>3.4075000000000002</v>
      </c>
      <c r="I98">
        <v>1368</v>
      </c>
      <c r="J98" s="1">
        <v>288899490.24849409</v>
      </c>
      <c r="K98" s="1">
        <v>211183.83790094597</v>
      </c>
      <c r="L98">
        <v>1</v>
      </c>
      <c r="M98">
        <v>0</v>
      </c>
      <c r="N98">
        <v>0</v>
      </c>
      <c r="P98" s="9"/>
    </row>
    <row r="99" spans="1:16" x14ac:dyDescent="0.3">
      <c r="A99">
        <v>6009</v>
      </c>
      <c r="B99" t="s">
        <v>105</v>
      </c>
      <c r="C99">
        <v>2.1258349999999999</v>
      </c>
      <c r="D99">
        <v>5352297</v>
      </c>
      <c r="E99">
        <v>25.297910000000002</v>
      </c>
      <c r="F99">
        <v>1779296</v>
      </c>
      <c r="G99">
        <v>0.3326595</v>
      </c>
      <c r="H99">
        <v>2.6941670000000002</v>
      </c>
      <c r="I99">
        <v>1800</v>
      </c>
      <c r="J99" s="1">
        <v>232114356.9027743</v>
      </c>
      <c r="K99" s="1">
        <v>128952.42050154127</v>
      </c>
      <c r="L99">
        <v>1</v>
      </c>
      <c r="M99">
        <v>0</v>
      </c>
      <c r="N99">
        <v>0</v>
      </c>
      <c r="O99" s="1">
        <v>31394230</v>
      </c>
      <c r="P99" s="9" t="s">
        <v>457</v>
      </c>
    </row>
    <row r="100" spans="1:16" x14ac:dyDescent="0.3">
      <c r="A100">
        <v>6017</v>
      </c>
      <c r="B100" t="s">
        <v>106</v>
      </c>
      <c r="C100">
        <v>1.8321670000000001</v>
      </c>
      <c r="D100">
        <v>2876930</v>
      </c>
      <c r="E100">
        <v>29.876660000000001</v>
      </c>
      <c r="F100">
        <v>917015.7</v>
      </c>
      <c r="G100">
        <v>0.3287814</v>
      </c>
      <c r="H100">
        <v>2.8308330000000002</v>
      </c>
      <c r="I100">
        <v>617.4</v>
      </c>
      <c r="J100" s="1">
        <v>205278170.6600441</v>
      </c>
      <c r="K100" s="1">
        <v>332488.12870107568</v>
      </c>
      <c r="L100">
        <v>0</v>
      </c>
      <c r="M100">
        <v>1</v>
      </c>
      <c r="N100">
        <v>0</v>
      </c>
      <c r="P100" s="9"/>
    </row>
    <row r="101" spans="1:16" x14ac:dyDescent="0.3">
      <c r="A101">
        <v>6018</v>
      </c>
      <c r="B101" t="s">
        <v>107</v>
      </c>
      <c r="C101">
        <v>2.0815709999999998</v>
      </c>
      <c r="D101">
        <v>2481199</v>
      </c>
      <c r="E101">
        <v>26.56202</v>
      </c>
      <c r="F101">
        <v>770694.5</v>
      </c>
      <c r="G101">
        <v>0.31654900000000002</v>
      </c>
      <c r="H101">
        <v>3.4791669999999999</v>
      </c>
      <c r="I101">
        <v>772</v>
      </c>
      <c r="J101" s="1">
        <v>211715345.2786293</v>
      </c>
      <c r="K101" s="1">
        <v>274242.6752313851</v>
      </c>
      <c r="L101">
        <v>0</v>
      </c>
      <c r="M101">
        <v>1</v>
      </c>
      <c r="N101">
        <v>0</v>
      </c>
      <c r="O101" s="1">
        <v>12812906</v>
      </c>
      <c r="P101" s="9" t="s">
        <v>460</v>
      </c>
    </row>
    <row r="102" spans="1:16" x14ac:dyDescent="0.3">
      <c r="A102">
        <v>6021</v>
      </c>
      <c r="B102" t="s">
        <v>108</v>
      </c>
      <c r="C102">
        <v>2.1821609999999998</v>
      </c>
      <c r="D102">
        <v>6383726</v>
      </c>
      <c r="E102">
        <v>31.033799999999999</v>
      </c>
      <c r="F102">
        <v>2106239</v>
      </c>
      <c r="G102">
        <v>0.3361944</v>
      </c>
      <c r="H102">
        <v>3.7858329999999998</v>
      </c>
      <c r="I102">
        <v>1427.6</v>
      </c>
      <c r="J102" s="1">
        <v>233324386.82039911</v>
      </c>
      <c r="K102" s="1">
        <v>163438.20875623362</v>
      </c>
      <c r="L102">
        <v>1</v>
      </c>
      <c r="M102">
        <v>0</v>
      </c>
      <c r="N102">
        <v>0</v>
      </c>
      <c r="O102" s="1">
        <v>59901936</v>
      </c>
      <c r="P102" s="9" t="s">
        <v>457</v>
      </c>
    </row>
    <row r="103" spans="1:16" x14ac:dyDescent="0.3">
      <c r="A103">
        <v>6030</v>
      </c>
      <c r="B103" t="s">
        <v>109</v>
      </c>
      <c r="C103">
        <v>1.7115</v>
      </c>
      <c r="D103">
        <v>7625927</v>
      </c>
      <c r="E103">
        <v>25.497199999999999</v>
      </c>
      <c r="F103">
        <v>2439463</v>
      </c>
      <c r="G103">
        <v>0.32001639999999998</v>
      </c>
      <c r="H103">
        <v>2.8033329999999999</v>
      </c>
      <c r="I103">
        <v>1209.5999999999999</v>
      </c>
      <c r="J103" s="1">
        <v>225452904.48955119</v>
      </c>
      <c r="K103" s="1">
        <v>186386.32976980094</v>
      </c>
      <c r="L103">
        <v>1</v>
      </c>
      <c r="M103">
        <v>0</v>
      </c>
      <c r="N103">
        <v>0</v>
      </c>
      <c r="O103" s="1">
        <v>61992424</v>
      </c>
      <c r="P103" s="9" t="s">
        <v>457</v>
      </c>
    </row>
    <row r="104" spans="1:16" x14ac:dyDescent="0.3">
      <c r="A104">
        <v>6034</v>
      </c>
      <c r="B104" t="s">
        <v>110</v>
      </c>
      <c r="C104">
        <v>2.134833</v>
      </c>
      <c r="D104">
        <v>5456313</v>
      </c>
      <c r="E104">
        <v>35.878749999999997</v>
      </c>
      <c r="F104">
        <v>1757750</v>
      </c>
      <c r="G104">
        <v>0.33187559999999999</v>
      </c>
      <c r="H104">
        <v>2.8591669999999998</v>
      </c>
      <c r="I104">
        <v>1395</v>
      </c>
      <c r="J104" s="1">
        <v>288281665.31526607</v>
      </c>
      <c r="K104" s="1">
        <v>206653.52352348823</v>
      </c>
      <c r="L104">
        <v>1</v>
      </c>
      <c r="M104">
        <v>0</v>
      </c>
      <c r="N104">
        <v>0</v>
      </c>
      <c r="P104" s="9"/>
    </row>
    <row r="105" spans="1:16" x14ac:dyDescent="0.3">
      <c r="A105">
        <v>6041</v>
      </c>
      <c r="B105" t="s">
        <v>111</v>
      </c>
      <c r="C105">
        <v>1.983449</v>
      </c>
      <c r="D105">
        <v>6633242</v>
      </c>
      <c r="E105">
        <v>26.56202</v>
      </c>
      <c r="F105">
        <v>2148169</v>
      </c>
      <c r="G105">
        <v>0.32680779999999998</v>
      </c>
      <c r="H105">
        <v>3.4791669999999999</v>
      </c>
      <c r="I105">
        <v>1608.5</v>
      </c>
      <c r="J105" s="1">
        <v>229577751.3015317</v>
      </c>
      <c r="K105" s="1">
        <v>142727.8528452171</v>
      </c>
      <c r="L105">
        <v>1</v>
      </c>
      <c r="M105">
        <v>0</v>
      </c>
      <c r="N105">
        <v>0</v>
      </c>
      <c r="P105" s="9"/>
    </row>
    <row r="106" spans="1:16" x14ac:dyDescent="0.3">
      <c r="A106">
        <v>6055</v>
      </c>
      <c r="B106" t="s">
        <v>112</v>
      </c>
      <c r="C106">
        <v>3.7423329999999999</v>
      </c>
      <c r="D106">
        <v>2255263</v>
      </c>
      <c r="E106">
        <v>24.639469999999999</v>
      </c>
      <c r="F106">
        <v>891372.1</v>
      </c>
      <c r="G106">
        <v>0.33469500000000002</v>
      </c>
      <c r="H106">
        <v>2.9024999999999999</v>
      </c>
      <c r="I106">
        <v>1276.9000000000001</v>
      </c>
      <c r="J106" s="1">
        <v>220544337.0521895</v>
      </c>
      <c r="K106" s="1">
        <v>172718.56609929475</v>
      </c>
      <c r="L106">
        <v>0</v>
      </c>
      <c r="M106">
        <v>1</v>
      </c>
      <c r="N106">
        <v>0</v>
      </c>
      <c r="P106" s="9"/>
    </row>
    <row r="107" spans="1:16" x14ac:dyDescent="0.3">
      <c r="A107">
        <v>6064</v>
      </c>
      <c r="B107" t="s">
        <v>113</v>
      </c>
      <c r="C107">
        <v>1.721487</v>
      </c>
      <c r="D107">
        <v>1031636</v>
      </c>
      <c r="E107">
        <v>31.13589</v>
      </c>
      <c r="F107">
        <v>316253.5</v>
      </c>
      <c r="G107">
        <v>0.3065447</v>
      </c>
      <c r="H107">
        <v>3.275833</v>
      </c>
      <c r="I107">
        <v>261</v>
      </c>
      <c r="J107" s="1">
        <v>47018821.485928841</v>
      </c>
      <c r="K107" s="1">
        <v>180148.74132539786</v>
      </c>
      <c r="L107">
        <v>1</v>
      </c>
      <c r="M107">
        <v>0</v>
      </c>
      <c r="N107">
        <v>0</v>
      </c>
      <c r="P107" s="9"/>
    </row>
    <row r="108" spans="1:16" x14ac:dyDescent="0.3">
      <c r="A108">
        <v>6065</v>
      </c>
      <c r="B108" t="s">
        <v>114</v>
      </c>
      <c r="C108">
        <v>1.555728</v>
      </c>
      <c r="D108">
        <v>5960284</v>
      </c>
      <c r="E108">
        <v>28.703389999999999</v>
      </c>
      <c r="F108">
        <v>2112104</v>
      </c>
      <c r="G108">
        <v>0.35694480000000001</v>
      </c>
      <c r="H108">
        <v>2.985833</v>
      </c>
      <c r="I108">
        <v>1725</v>
      </c>
      <c r="J108" s="1">
        <v>313396041.50837839</v>
      </c>
      <c r="K108" s="1">
        <v>181678.86464253819</v>
      </c>
      <c r="L108">
        <v>0</v>
      </c>
      <c r="M108">
        <v>1</v>
      </c>
      <c r="N108">
        <v>0</v>
      </c>
      <c r="O108" s="1">
        <v>10162206</v>
      </c>
      <c r="P108" s="9" t="s">
        <v>460</v>
      </c>
    </row>
    <row r="109" spans="1:16" x14ac:dyDescent="0.3">
      <c r="A109">
        <v>6068</v>
      </c>
      <c r="B109" t="s">
        <v>115</v>
      </c>
      <c r="C109">
        <v>1.7304660000000001</v>
      </c>
      <c r="D109">
        <v>7675753</v>
      </c>
      <c r="E109">
        <v>31.13589</v>
      </c>
      <c r="F109">
        <v>2278141</v>
      </c>
      <c r="G109">
        <v>0.30567820000000001</v>
      </c>
      <c r="H109">
        <v>3.275833</v>
      </c>
      <c r="I109">
        <v>2160</v>
      </c>
      <c r="J109" s="1">
        <v>332229320.48379958</v>
      </c>
      <c r="K109" s="1">
        <v>153809.87059435167</v>
      </c>
      <c r="L109">
        <v>1</v>
      </c>
      <c r="M109">
        <v>0</v>
      </c>
      <c r="N109">
        <v>0</v>
      </c>
      <c r="O109" s="1">
        <v>945385</v>
      </c>
      <c r="P109" s="9" t="s">
        <v>460</v>
      </c>
    </row>
    <row r="110" spans="1:16" x14ac:dyDescent="0.3">
      <c r="A110">
        <v>6071</v>
      </c>
      <c r="B110" t="s">
        <v>116</v>
      </c>
      <c r="C110">
        <v>2.031263</v>
      </c>
      <c r="D110">
        <v>6686434</v>
      </c>
      <c r="E110">
        <v>26.56202</v>
      </c>
      <c r="F110">
        <v>2335306</v>
      </c>
      <c r="G110">
        <v>0.34993780000000002</v>
      </c>
      <c r="H110">
        <v>3.4791669999999999</v>
      </c>
      <c r="I110">
        <v>1400.1</v>
      </c>
      <c r="J110" s="1">
        <v>297657135.60271913</v>
      </c>
      <c r="K110" s="1">
        <v>212597.05421235564</v>
      </c>
      <c r="L110">
        <v>1</v>
      </c>
      <c r="M110">
        <v>0</v>
      </c>
      <c r="N110">
        <v>0</v>
      </c>
      <c r="O110" s="1">
        <v>6563480</v>
      </c>
      <c r="P110" s="9" t="s">
        <v>458</v>
      </c>
    </row>
    <row r="111" spans="1:16" x14ac:dyDescent="0.3">
      <c r="A111">
        <v>6073</v>
      </c>
      <c r="B111" t="s">
        <v>117</v>
      </c>
      <c r="C111">
        <v>2.9887049999999999</v>
      </c>
      <c r="D111">
        <v>2289541</v>
      </c>
      <c r="E111">
        <v>27.850560000000002</v>
      </c>
      <c r="F111">
        <v>695020.9</v>
      </c>
      <c r="G111">
        <v>0.32359549999999998</v>
      </c>
      <c r="H111">
        <v>2.7566670000000002</v>
      </c>
      <c r="I111">
        <v>1096.5999999999999</v>
      </c>
      <c r="J111" s="1">
        <v>193147609.20769331</v>
      </c>
      <c r="K111" s="1">
        <v>176133.14718921515</v>
      </c>
      <c r="L111">
        <v>1</v>
      </c>
      <c r="M111">
        <v>0</v>
      </c>
      <c r="N111">
        <v>0</v>
      </c>
      <c r="O111" s="1">
        <v>28777674</v>
      </c>
      <c r="P111" s="9" t="s">
        <v>460</v>
      </c>
    </row>
    <row r="112" spans="1:16" x14ac:dyDescent="0.3">
      <c r="A112">
        <v>6076</v>
      </c>
      <c r="B112" t="s">
        <v>118</v>
      </c>
      <c r="C112">
        <v>2.087631</v>
      </c>
      <c r="D112">
        <v>9924185</v>
      </c>
      <c r="E112">
        <v>27.20824</v>
      </c>
      <c r="F112">
        <v>3120582</v>
      </c>
      <c r="G112">
        <v>0.31728770000000001</v>
      </c>
      <c r="H112">
        <v>2.2374999999999998</v>
      </c>
      <c r="I112">
        <v>1647.4</v>
      </c>
      <c r="J112" s="1">
        <v>316544402.21356308</v>
      </c>
      <c r="K112" s="1">
        <v>192147.87071358692</v>
      </c>
      <c r="L112">
        <v>1</v>
      </c>
      <c r="M112">
        <v>0</v>
      </c>
      <c r="N112">
        <v>0</v>
      </c>
      <c r="O112" s="1">
        <v>113198784</v>
      </c>
      <c r="P112" s="9" t="s">
        <v>460</v>
      </c>
    </row>
    <row r="113" spans="1:16" x14ac:dyDescent="0.3">
      <c r="A113">
        <v>6077</v>
      </c>
      <c r="B113" t="s">
        <v>119</v>
      </c>
      <c r="C113">
        <v>1.0342169999999999</v>
      </c>
      <c r="D113">
        <v>6460533</v>
      </c>
      <c r="E113">
        <v>26.168330000000001</v>
      </c>
      <c r="F113">
        <v>2203642</v>
      </c>
      <c r="G113">
        <v>0.33742610000000001</v>
      </c>
      <c r="H113">
        <v>3.6541670000000002</v>
      </c>
      <c r="I113">
        <v>1362.6</v>
      </c>
      <c r="J113" s="1">
        <v>293278864.40028149</v>
      </c>
      <c r="K113" s="1">
        <v>215234.74563355462</v>
      </c>
      <c r="L113">
        <v>0</v>
      </c>
      <c r="M113">
        <v>1</v>
      </c>
      <c r="N113">
        <v>0</v>
      </c>
      <c r="O113" s="1">
        <v>3382220</v>
      </c>
      <c r="P113" s="9" t="s">
        <v>460</v>
      </c>
    </row>
    <row r="114" spans="1:16" x14ac:dyDescent="0.3">
      <c r="A114">
        <v>6085</v>
      </c>
      <c r="B114" t="s">
        <v>120</v>
      </c>
      <c r="C114">
        <v>2.4788610000000002</v>
      </c>
      <c r="D114">
        <v>4051547</v>
      </c>
      <c r="E114">
        <v>30.23762</v>
      </c>
      <c r="F114">
        <v>1178920</v>
      </c>
      <c r="G114">
        <v>0.30016510000000002</v>
      </c>
      <c r="H114">
        <v>3.1758329999999999</v>
      </c>
      <c r="I114">
        <v>847</v>
      </c>
      <c r="J114" s="1">
        <v>247045316.13969111</v>
      </c>
      <c r="K114" s="1">
        <v>291670.97537153616</v>
      </c>
      <c r="L114">
        <v>1</v>
      </c>
      <c r="M114">
        <v>0</v>
      </c>
      <c r="N114">
        <v>0</v>
      </c>
      <c r="O114" s="1">
        <v>36322088</v>
      </c>
      <c r="P114" s="9" t="s">
        <v>458</v>
      </c>
    </row>
    <row r="115" spans="1:16" x14ac:dyDescent="0.3">
      <c r="A115">
        <v>6090</v>
      </c>
      <c r="B115" t="s">
        <v>121</v>
      </c>
      <c r="C115">
        <v>2.1409120000000001</v>
      </c>
      <c r="D115">
        <v>8847595</v>
      </c>
      <c r="E115">
        <v>31.852930000000001</v>
      </c>
      <c r="F115">
        <v>2899485</v>
      </c>
      <c r="G115">
        <v>0.32863759999999997</v>
      </c>
      <c r="H115">
        <v>5.3266669999999996</v>
      </c>
      <c r="I115">
        <v>2469.3000000000002</v>
      </c>
      <c r="J115" s="1">
        <v>344433114.68901259</v>
      </c>
      <c r="K115" s="1">
        <v>139486.13562103128</v>
      </c>
      <c r="L115">
        <v>1</v>
      </c>
      <c r="M115">
        <v>0</v>
      </c>
      <c r="N115">
        <v>0</v>
      </c>
      <c r="O115" s="1">
        <v>-158517</v>
      </c>
      <c r="P115" s="9" t="s">
        <v>460</v>
      </c>
    </row>
    <row r="116" spans="1:16" x14ac:dyDescent="0.3">
      <c r="A116">
        <v>6095</v>
      </c>
      <c r="B116" t="s">
        <v>122</v>
      </c>
      <c r="C116">
        <v>2.165794</v>
      </c>
      <c r="D116">
        <v>3064360</v>
      </c>
      <c r="E116">
        <v>24.509060000000002</v>
      </c>
      <c r="F116">
        <v>928536.3</v>
      </c>
      <c r="G116">
        <v>0.32317129999999999</v>
      </c>
      <c r="H116">
        <v>3.1266669999999999</v>
      </c>
      <c r="I116">
        <v>1138</v>
      </c>
      <c r="J116" s="1">
        <v>235370082.2870861</v>
      </c>
      <c r="K116" s="1">
        <v>206827.84032257125</v>
      </c>
      <c r="L116">
        <v>0</v>
      </c>
      <c r="M116">
        <v>1</v>
      </c>
      <c r="N116">
        <v>0</v>
      </c>
      <c r="P116" s="9"/>
    </row>
    <row r="117" spans="1:16" x14ac:dyDescent="0.3">
      <c r="A117">
        <v>6096</v>
      </c>
      <c r="B117" t="s">
        <v>123</v>
      </c>
      <c r="C117">
        <v>1.3399779999999999</v>
      </c>
      <c r="D117">
        <v>6379535</v>
      </c>
      <c r="E117">
        <v>26.168330000000001</v>
      </c>
      <c r="F117">
        <v>2143697</v>
      </c>
      <c r="G117">
        <v>0.34325430000000001</v>
      </c>
      <c r="H117">
        <v>3.6541670000000002</v>
      </c>
      <c r="I117">
        <v>1389.6</v>
      </c>
      <c r="J117" s="1">
        <v>234504332.02728179</v>
      </c>
      <c r="K117" s="1">
        <v>168756.71562124483</v>
      </c>
      <c r="L117">
        <v>0</v>
      </c>
      <c r="M117">
        <v>1</v>
      </c>
      <c r="N117">
        <v>0</v>
      </c>
      <c r="P117" s="9"/>
    </row>
    <row r="118" spans="1:16" x14ac:dyDescent="0.3">
      <c r="A118">
        <v>6098</v>
      </c>
      <c r="B118" t="s">
        <v>124</v>
      </c>
      <c r="C118">
        <v>1.9162140000000001</v>
      </c>
      <c r="D118">
        <v>1821752</v>
      </c>
      <c r="E118">
        <v>29.82</v>
      </c>
      <c r="F118">
        <v>576048.1</v>
      </c>
      <c r="G118">
        <v>0.3162644</v>
      </c>
      <c r="H118">
        <v>3.378333</v>
      </c>
      <c r="I118">
        <v>450</v>
      </c>
      <c r="J118" s="1">
        <v>163914543.6330097</v>
      </c>
      <c r="K118" s="1">
        <v>364254.54140668822</v>
      </c>
      <c r="L118">
        <v>0</v>
      </c>
      <c r="M118">
        <v>1</v>
      </c>
      <c r="N118">
        <v>0</v>
      </c>
      <c r="O118" s="1">
        <v>1693297</v>
      </c>
      <c r="P118" s="9" t="s">
        <v>459</v>
      </c>
    </row>
    <row r="119" spans="1:16" x14ac:dyDescent="0.3">
      <c r="A119">
        <v>6101</v>
      </c>
      <c r="B119" t="s">
        <v>125</v>
      </c>
      <c r="C119">
        <v>1.216707</v>
      </c>
      <c r="D119">
        <v>1938572</v>
      </c>
      <c r="E119">
        <v>24.022069999999999</v>
      </c>
      <c r="F119">
        <v>520492.6</v>
      </c>
      <c r="G119">
        <v>0.28233200000000003</v>
      </c>
      <c r="H119">
        <v>6.55</v>
      </c>
      <c r="I119">
        <v>402.3</v>
      </c>
      <c r="J119" s="1">
        <v>174310793.56878141</v>
      </c>
      <c r="K119" s="1">
        <v>433285.59176928014</v>
      </c>
      <c r="L119">
        <v>0</v>
      </c>
      <c r="M119">
        <v>1</v>
      </c>
      <c r="N119">
        <v>0</v>
      </c>
      <c r="O119" s="1">
        <v>2878752</v>
      </c>
      <c r="P119" s="9" t="s">
        <v>458</v>
      </c>
    </row>
    <row r="120" spans="1:16" x14ac:dyDescent="0.3">
      <c r="A120">
        <v>6113</v>
      </c>
      <c r="B120" t="s">
        <v>126</v>
      </c>
      <c r="C120">
        <v>2.2387670000000002</v>
      </c>
      <c r="D120">
        <v>10900000</v>
      </c>
      <c r="E120">
        <v>30.23762</v>
      </c>
      <c r="F120">
        <v>3413769</v>
      </c>
      <c r="G120">
        <v>0.3280785</v>
      </c>
      <c r="H120">
        <v>3.1758329999999999</v>
      </c>
      <c r="I120">
        <v>3339.5</v>
      </c>
      <c r="J120" s="1">
        <v>389875047.04216748</v>
      </c>
      <c r="K120" s="1">
        <v>116746.53302655113</v>
      </c>
      <c r="L120">
        <v>1</v>
      </c>
      <c r="M120">
        <v>0</v>
      </c>
      <c r="N120">
        <v>0</v>
      </c>
      <c r="O120" s="1">
        <v>11102668</v>
      </c>
      <c r="P120" s="9" t="s">
        <v>460</v>
      </c>
    </row>
    <row r="121" spans="1:16" x14ac:dyDescent="0.3">
      <c r="A121">
        <v>6137</v>
      </c>
      <c r="B121" t="s">
        <v>127</v>
      </c>
      <c r="C121">
        <v>2.2262420000000001</v>
      </c>
      <c r="D121">
        <v>2311203</v>
      </c>
      <c r="E121">
        <v>30.23762</v>
      </c>
      <c r="F121">
        <v>713531.6</v>
      </c>
      <c r="G121">
        <v>0.30938890000000002</v>
      </c>
      <c r="H121">
        <v>3.1758329999999999</v>
      </c>
      <c r="I121">
        <v>530.4</v>
      </c>
      <c r="J121" s="1">
        <v>202111275.09267989</v>
      </c>
      <c r="K121" s="1">
        <v>381054.44021998474</v>
      </c>
      <c r="L121">
        <v>0</v>
      </c>
      <c r="M121">
        <v>1</v>
      </c>
      <c r="N121">
        <v>0</v>
      </c>
      <c r="O121" s="1">
        <v>-371182</v>
      </c>
      <c r="P121" s="9" t="s">
        <v>460</v>
      </c>
    </row>
    <row r="122" spans="1:16" x14ac:dyDescent="0.3">
      <c r="A122">
        <v>6138</v>
      </c>
      <c r="B122" t="s">
        <v>128</v>
      </c>
      <c r="C122">
        <v>1.725806</v>
      </c>
      <c r="D122">
        <v>2196330</v>
      </c>
      <c r="E122">
        <v>25.297910000000002</v>
      </c>
      <c r="F122">
        <v>696467.2</v>
      </c>
      <c r="G122">
        <v>0.32410899999999998</v>
      </c>
      <c r="H122">
        <v>2.6941670000000002</v>
      </c>
      <c r="I122">
        <v>558</v>
      </c>
      <c r="J122" s="1">
        <v>211051167.26668209</v>
      </c>
      <c r="K122" s="1">
        <v>378227.89832738723</v>
      </c>
      <c r="L122">
        <v>0</v>
      </c>
      <c r="M122">
        <v>1</v>
      </c>
      <c r="N122">
        <v>0</v>
      </c>
      <c r="P122" s="9"/>
    </row>
    <row r="123" spans="1:16" x14ac:dyDescent="0.3">
      <c r="A123">
        <v>6139</v>
      </c>
      <c r="B123" t="s">
        <v>129</v>
      </c>
      <c r="C123">
        <v>2.0340989999999999</v>
      </c>
      <c r="D123">
        <v>4125732</v>
      </c>
      <c r="E123">
        <v>26.15709</v>
      </c>
      <c r="F123">
        <v>1244229</v>
      </c>
      <c r="G123">
        <v>0.31912790000000002</v>
      </c>
      <c r="H123">
        <v>2.7158329999999999</v>
      </c>
      <c r="I123">
        <v>1116</v>
      </c>
      <c r="J123" s="1">
        <v>280291322.70231748</v>
      </c>
      <c r="K123" s="1">
        <v>251157.09919562499</v>
      </c>
      <c r="L123">
        <v>0</v>
      </c>
      <c r="M123">
        <v>1</v>
      </c>
      <c r="N123">
        <v>0</v>
      </c>
      <c r="P123" s="9"/>
    </row>
    <row r="124" spans="1:16" x14ac:dyDescent="0.3">
      <c r="A124">
        <v>6146</v>
      </c>
      <c r="B124" t="s">
        <v>130</v>
      </c>
      <c r="C124">
        <v>2.102833</v>
      </c>
      <c r="D124">
        <v>12300000</v>
      </c>
      <c r="E124">
        <v>26.15709</v>
      </c>
      <c r="F124">
        <v>3687973</v>
      </c>
      <c r="G124">
        <v>0.30438599999999999</v>
      </c>
      <c r="H124">
        <v>2.7158329999999999</v>
      </c>
      <c r="I124">
        <v>2379.6</v>
      </c>
      <c r="J124" s="1">
        <v>328975848.303617</v>
      </c>
      <c r="K124" s="1">
        <v>138248.38136813624</v>
      </c>
      <c r="L124">
        <v>1</v>
      </c>
      <c r="M124">
        <v>0</v>
      </c>
      <c r="N124">
        <v>0</v>
      </c>
      <c r="P124" s="9"/>
    </row>
    <row r="125" spans="1:16" x14ac:dyDescent="0.3">
      <c r="A125">
        <v>6155</v>
      </c>
      <c r="B125" t="s">
        <v>131</v>
      </c>
      <c r="C125">
        <v>1.7877890000000001</v>
      </c>
      <c r="D125">
        <v>5532114</v>
      </c>
      <c r="E125">
        <v>28.703389999999999</v>
      </c>
      <c r="F125">
        <v>1884290</v>
      </c>
      <c r="G125">
        <v>0.33836179999999999</v>
      </c>
      <c r="H125">
        <v>2.985833</v>
      </c>
      <c r="I125">
        <v>1242</v>
      </c>
      <c r="J125" s="1">
        <v>240123736.6243954</v>
      </c>
      <c r="K125" s="1">
        <v>193336.34188759694</v>
      </c>
      <c r="L125">
        <v>0</v>
      </c>
      <c r="M125">
        <v>1</v>
      </c>
      <c r="N125">
        <v>0</v>
      </c>
      <c r="P125" s="9"/>
    </row>
    <row r="126" spans="1:16" x14ac:dyDescent="0.3">
      <c r="A126">
        <v>6165</v>
      </c>
      <c r="B126" t="s">
        <v>132</v>
      </c>
      <c r="C126">
        <v>1.781034</v>
      </c>
      <c r="D126">
        <v>7159792</v>
      </c>
      <c r="E126">
        <v>24.416740000000001</v>
      </c>
      <c r="F126">
        <v>2365319</v>
      </c>
      <c r="G126">
        <v>0.32989069999999998</v>
      </c>
      <c r="H126">
        <v>7.7850000000000001</v>
      </c>
      <c r="I126">
        <v>1577.2</v>
      </c>
      <c r="J126" s="1">
        <v>300840730.60845858</v>
      </c>
      <c r="K126" s="1">
        <v>190743.55224984692</v>
      </c>
      <c r="L126">
        <v>0</v>
      </c>
      <c r="M126">
        <v>1</v>
      </c>
      <c r="N126">
        <v>0</v>
      </c>
      <c r="O126" s="1">
        <v>13626802</v>
      </c>
      <c r="P126" s="9" t="s">
        <v>458</v>
      </c>
    </row>
    <row r="127" spans="1:16" x14ac:dyDescent="0.3">
      <c r="A127">
        <v>6166</v>
      </c>
      <c r="B127" t="s">
        <v>133</v>
      </c>
      <c r="C127">
        <v>3.2663880000000001</v>
      </c>
      <c r="D127">
        <v>5871489</v>
      </c>
      <c r="E127">
        <v>30.23762</v>
      </c>
      <c r="F127">
        <v>1898352</v>
      </c>
      <c r="G127">
        <v>0.34740110000000002</v>
      </c>
      <c r="H127">
        <v>3.1758329999999999</v>
      </c>
      <c r="I127">
        <v>2600</v>
      </c>
      <c r="J127" s="1">
        <v>386946378.42422998</v>
      </c>
      <c r="K127" s="1">
        <v>148825.53016316539</v>
      </c>
      <c r="L127">
        <v>1</v>
      </c>
      <c r="M127">
        <v>0</v>
      </c>
      <c r="N127">
        <v>0</v>
      </c>
      <c r="P127" s="9"/>
    </row>
    <row r="128" spans="1:16" x14ac:dyDescent="0.3">
      <c r="A128">
        <v>6177</v>
      </c>
      <c r="B128" t="s">
        <v>134</v>
      </c>
      <c r="C128">
        <v>2.6423589999999999</v>
      </c>
      <c r="D128">
        <v>2724350</v>
      </c>
      <c r="E128">
        <v>31.18571</v>
      </c>
      <c r="F128">
        <v>832797</v>
      </c>
      <c r="G128">
        <v>0.32083970000000001</v>
      </c>
      <c r="H128">
        <v>4.5191660000000002</v>
      </c>
      <c r="I128">
        <v>821.8</v>
      </c>
      <c r="J128" s="1">
        <v>192586857.6713382</v>
      </c>
      <c r="K128" s="1">
        <v>234347.59998945997</v>
      </c>
      <c r="L128">
        <v>0</v>
      </c>
      <c r="M128">
        <v>1</v>
      </c>
      <c r="N128">
        <v>0</v>
      </c>
      <c r="O128" s="1">
        <v>20275692</v>
      </c>
      <c r="P128" s="9" t="s">
        <v>457</v>
      </c>
    </row>
    <row r="129" spans="1:16" x14ac:dyDescent="0.3">
      <c r="A129">
        <v>6178</v>
      </c>
      <c r="B129" t="s">
        <v>135</v>
      </c>
      <c r="C129">
        <v>2.102833</v>
      </c>
      <c r="D129">
        <v>2760762</v>
      </c>
      <c r="E129">
        <v>26.15709</v>
      </c>
      <c r="F129">
        <v>888398.6</v>
      </c>
      <c r="G129">
        <v>0.33679170000000003</v>
      </c>
      <c r="H129">
        <v>2.7158329999999999</v>
      </c>
      <c r="I129">
        <v>622.4</v>
      </c>
      <c r="J129" s="1">
        <v>204725892.02244321</v>
      </c>
      <c r="K129" s="1">
        <v>328929.77510032651</v>
      </c>
      <c r="L129">
        <v>0</v>
      </c>
      <c r="M129">
        <v>1</v>
      </c>
      <c r="N129">
        <v>0</v>
      </c>
      <c r="P129" s="9"/>
    </row>
    <row r="130" spans="1:16" x14ac:dyDescent="0.3">
      <c r="A130">
        <v>6179</v>
      </c>
      <c r="B130" t="s">
        <v>136</v>
      </c>
      <c r="C130">
        <v>1.6883859999999999</v>
      </c>
      <c r="D130">
        <v>8646254</v>
      </c>
      <c r="E130">
        <v>26.15709</v>
      </c>
      <c r="F130">
        <v>2773202</v>
      </c>
      <c r="G130">
        <v>0.32509290000000002</v>
      </c>
      <c r="H130">
        <v>2.7158329999999999</v>
      </c>
      <c r="I130">
        <v>1690</v>
      </c>
      <c r="J130" s="1">
        <v>228950160.1763829</v>
      </c>
      <c r="K130" s="1">
        <v>135473.46755998989</v>
      </c>
      <c r="L130">
        <v>1</v>
      </c>
      <c r="M130">
        <v>0</v>
      </c>
      <c r="N130">
        <v>0</v>
      </c>
      <c r="P130" s="9"/>
    </row>
    <row r="131" spans="1:16" x14ac:dyDescent="0.3">
      <c r="A131">
        <v>6180</v>
      </c>
      <c r="B131" t="s">
        <v>137</v>
      </c>
      <c r="C131">
        <v>2.102833</v>
      </c>
      <c r="D131">
        <v>10700000</v>
      </c>
      <c r="E131">
        <v>26.15709</v>
      </c>
      <c r="F131">
        <v>3564521</v>
      </c>
      <c r="G131">
        <v>0.32991039999999999</v>
      </c>
      <c r="H131">
        <v>2.7158329999999999</v>
      </c>
      <c r="I131">
        <v>1795.4</v>
      </c>
      <c r="J131" s="1">
        <v>230342166.18037769</v>
      </c>
      <c r="K131" s="1">
        <v>128295.73698361238</v>
      </c>
      <c r="L131">
        <v>1</v>
      </c>
      <c r="M131">
        <v>0</v>
      </c>
      <c r="N131">
        <v>0</v>
      </c>
      <c r="O131" s="1">
        <v>-441048</v>
      </c>
      <c r="P131" s="9" t="s">
        <v>457</v>
      </c>
    </row>
    <row r="132" spans="1:16" x14ac:dyDescent="0.3">
      <c r="A132">
        <v>6181</v>
      </c>
      <c r="B132" t="s">
        <v>138</v>
      </c>
      <c r="C132">
        <v>2.102833</v>
      </c>
      <c r="D132">
        <v>1028900</v>
      </c>
      <c r="E132">
        <v>26.15709</v>
      </c>
      <c r="F132">
        <v>324909.8</v>
      </c>
      <c r="G132">
        <v>0.33209889999999997</v>
      </c>
      <c r="H132">
        <v>2.7158329999999999</v>
      </c>
      <c r="I132">
        <v>932</v>
      </c>
      <c r="J132" s="1">
        <v>64517598.733253397</v>
      </c>
      <c r="K132" s="1">
        <v>69224.891344692485</v>
      </c>
      <c r="L132">
        <v>1</v>
      </c>
      <c r="M132">
        <v>0</v>
      </c>
      <c r="N132">
        <v>0</v>
      </c>
      <c r="O132" s="1">
        <v>3287007</v>
      </c>
      <c r="P132" s="9" t="s">
        <v>460</v>
      </c>
    </row>
    <row r="133" spans="1:16" x14ac:dyDescent="0.3">
      <c r="A133">
        <v>6190</v>
      </c>
      <c r="B133" t="s">
        <v>139</v>
      </c>
      <c r="C133">
        <v>2.376039</v>
      </c>
      <c r="D133">
        <v>2579660</v>
      </c>
      <c r="E133">
        <v>24.639469999999999</v>
      </c>
      <c r="F133">
        <v>1456153</v>
      </c>
      <c r="G133">
        <v>0.56343100000000002</v>
      </c>
      <c r="H133">
        <v>2.9024999999999999</v>
      </c>
      <c r="I133">
        <v>558</v>
      </c>
      <c r="J133" s="1">
        <v>202529904.4543305</v>
      </c>
      <c r="K133" s="1">
        <v>362956.81801851344</v>
      </c>
      <c r="L133">
        <v>0</v>
      </c>
      <c r="M133">
        <v>1</v>
      </c>
      <c r="N133">
        <v>0</v>
      </c>
      <c r="O133" s="1">
        <v>12883890</v>
      </c>
      <c r="P133" s="9" t="s">
        <v>459</v>
      </c>
    </row>
    <row r="134" spans="1:16" x14ac:dyDescent="0.3">
      <c r="A134">
        <v>6193</v>
      </c>
      <c r="B134" t="s">
        <v>140</v>
      </c>
      <c r="C134">
        <v>1.6240509999999999</v>
      </c>
      <c r="D134">
        <v>3765960</v>
      </c>
      <c r="E134">
        <v>26.15709</v>
      </c>
      <c r="F134">
        <v>1202923</v>
      </c>
      <c r="G134">
        <v>0.32666590000000001</v>
      </c>
      <c r="H134">
        <v>2.7158329999999999</v>
      </c>
      <c r="I134">
        <v>1080</v>
      </c>
      <c r="J134" s="1">
        <v>280116112.86375809</v>
      </c>
      <c r="K134" s="1">
        <v>259366.77117014638</v>
      </c>
      <c r="L134">
        <v>0</v>
      </c>
      <c r="M134">
        <v>1</v>
      </c>
      <c r="N134">
        <v>0</v>
      </c>
      <c r="O134" s="1">
        <v>202263328</v>
      </c>
      <c r="P134" s="9" t="s">
        <v>460</v>
      </c>
    </row>
    <row r="135" spans="1:16" x14ac:dyDescent="0.3">
      <c r="A135">
        <v>6194</v>
      </c>
      <c r="B135" t="s">
        <v>141</v>
      </c>
      <c r="C135">
        <v>1.868554</v>
      </c>
      <c r="D135">
        <v>2381656</v>
      </c>
      <c r="E135">
        <v>26.15709</v>
      </c>
      <c r="F135">
        <v>767189.3</v>
      </c>
      <c r="G135">
        <v>0.33840039999999999</v>
      </c>
      <c r="H135">
        <v>2.7158329999999999</v>
      </c>
      <c r="I135">
        <v>1135.8</v>
      </c>
      <c r="J135" s="1">
        <v>221046630.92347619</v>
      </c>
      <c r="K135" s="1">
        <v>194617.56552515953</v>
      </c>
      <c r="L135">
        <v>0</v>
      </c>
      <c r="M135">
        <v>1</v>
      </c>
      <c r="N135">
        <v>0</v>
      </c>
      <c r="O135" s="1">
        <v>23914</v>
      </c>
      <c r="P135" s="9" t="s">
        <v>458</v>
      </c>
    </row>
    <row r="136" spans="1:16" x14ac:dyDescent="0.3">
      <c r="A136">
        <v>6195</v>
      </c>
      <c r="B136" t="s">
        <v>142</v>
      </c>
      <c r="C136">
        <v>1.9618230000000001</v>
      </c>
      <c r="D136">
        <v>1823850</v>
      </c>
      <c r="E136">
        <v>28.703389999999999</v>
      </c>
      <c r="F136">
        <v>615885.19999999995</v>
      </c>
      <c r="G136">
        <v>0.34179080000000001</v>
      </c>
      <c r="H136">
        <v>2.985833</v>
      </c>
      <c r="I136">
        <v>494</v>
      </c>
      <c r="J136" s="1">
        <v>143311783.00962839</v>
      </c>
      <c r="K136" s="1">
        <v>290104.82390613033</v>
      </c>
      <c r="L136">
        <v>0</v>
      </c>
      <c r="M136">
        <v>1</v>
      </c>
      <c r="N136">
        <v>0</v>
      </c>
      <c r="P136" s="9"/>
    </row>
    <row r="137" spans="1:16" x14ac:dyDescent="0.3">
      <c r="A137">
        <v>6204</v>
      </c>
      <c r="B137" t="s">
        <v>143</v>
      </c>
      <c r="C137">
        <v>1.132674</v>
      </c>
      <c r="D137">
        <v>7888366</v>
      </c>
      <c r="E137">
        <v>24.022069999999999</v>
      </c>
      <c r="F137">
        <v>2610910</v>
      </c>
      <c r="G137">
        <v>0.33362720000000001</v>
      </c>
      <c r="H137">
        <v>6.55</v>
      </c>
      <c r="I137">
        <v>1863</v>
      </c>
      <c r="J137" s="1">
        <v>288195870.26738173</v>
      </c>
      <c r="K137" s="1">
        <v>154694.50900020491</v>
      </c>
      <c r="L137">
        <v>0</v>
      </c>
      <c r="M137">
        <v>1</v>
      </c>
      <c r="N137">
        <v>0</v>
      </c>
      <c r="O137" s="1">
        <v>4381252</v>
      </c>
      <c r="P137" s="9" t="s">
        <v>460</v>
      </c>
    </row>
    <row r="138" spans="1:16" x14ac:dyDescent="0.3">
      <c r="A138">
        <v>6213</v>
      </c>
      <c r="B138" t="s">
        <v>144</v>
      </c>
      <c r="C138">
        <v>2.3435679999999999</v>
      </c>
      <c r="D138">
        <v>4080159</v>
      </c>
      <c r="E138">
        <v>30.23762</v>
      </c>
      <c r="F138">
        <v>1315721</v>
      </c>
      <c r="G138">
        <v>0.329351</v>
      </c>
      <c r="H138">
        <v>3.1758329999999999</v>
      </c>
      <c r="I138">
        <v>1080</v>
      </c>
      <c r="J138" s="1">
        <v>196979055.29537469</v>
      </c>
      <c r="K138" s="1">
        <v>182388.01416238397</v>
      </c>
      <c r="L138">
        <v>1</v>
      </c>
      <c r="M138">
        <v>0</v>
      </c>
      <c r="N138">
        <v>0</v>
      </c>
      <c r="P138" s="9"/>
    </row>
    <row r="139" spans="1:16" x14ac:dyDescent="0.3">
      <c r="A139">
        <v>6248</v>
      </c>
      <c r="B139" t="s">
        <v>145</v>
      </c>
      <c r="C139">
        <v>1.2678959999999999</v>
      </c>
      <c r="D139">
        <v>2630363</v>
      </c>
      <c r="E139">
        <v>31.033799999999999</v>
      </c>
      <c r="F139">
        <v>809385.6</v>
      </c>
      <c r="G139">
        <v>0.31815589999999999</v>
      </c>
      <c r="H139">
        <v>3.7858329999999998</v>
      </c>
      <c r="I139">
        <v>552.29999999999995</v>
      </c>
      <c r="J139" s="1">
        <v>217546540.54177201</v>
      </c>
      <c r="K139" s="1">
        <v>393891.97997785988</v>
      </c>
      <c r="L139">
        <v>0</v>
      </c>
      <c r="M139">
        <v>1</v>
      </c>
      <c r="N139">
        <v>0</v>
      </c>
      <c r="O139" s="1">
        <v>3579699</v>
      </c>
      <c r="P139" s="9" t="s">
        <v>458</v>
      </c>
    </row>
    <row r="140" spans="1:16" x14ac:dyDescent="0.3">
      <c r="A140">
        <v>6249</v>
      </c>
      <c r="B140" t="s">
        <v>146</v>
      </c>
      <c r="C140">
        <v>2.9729930000000002</v>
      </c>
      <c r="D140">
        <v>1844600</v>
      </c>
      <c r="E140">
        <v>29.409210000000002</v>
      </c>
      <c r="F140">
        <v>567985.30000000005</v>
      </c>
      <c r="G140">
        <v>0.32723429999999998</v>
      </c>
      <c r="H140">
        <v>4.0083330000000004</v>
      </c>
      <c r="I140">
        <v>1260</v>
      </c>
      <c r="J140" s="1">
        <v>158790616.8068983</v>
      </c>
      <c r="K140" s="1">
        <v>126024.29905309388</v>
      </c>
      <c r="L140">
        <v>0</v>
      </c>
      <c r="M140">
        <v>1</v>
      </c>
      <c r="N140">
        <v>0</v>
      </c>
      <c r="P140" s="9"/>
    </row>
    <row r="141" spans="1:16" x14ac:dyDescent="0.3">
      <c r="A141">
        <v>6250</v>
      </c>
      <c r="B141" t="s">
        <v>147</v>
      </c>
      <c r="C141">
        <v>2.919441</v>
      </c>
      <c r="D141">
        <v>1247342</v>
      </c>
      <c r="E141">
        <v>27.54674</v>
      </c>
      <c r="F141">
        <v>343310.2</v>
      </c>
      <c r="G141">
        <v>0.3123185</v>
      </c>
      <c r="H141">
        <v>5.2591669999999997</v>
      </c>
      <c r="I141">
        <v>763.2</v>
      </c>
      <c r="J141" s="1">
        <v>46613092.331431799</v>
      </c>
      <c r="K141" s="1">
        <v>61075.854731959902</v>
      </c>
      <c r="L141">
        <v>1</v>
      </c>
      <c r="M141">
        <v>0</v>
      </c>
      <c r="N141">
        <v>0</v>
      </c>
      <c r="O141" s="1">
        <v>28717558</v>
      </c>
      <c r="P141" s="9" t="s">
        <v>457</v>
      </c>
    </row>
    <row r="142" spans="1:16" x14ac:dyDescent="0.3">
      <c r="A142">
        <v>6254</v>
      </c>
      <c r="B142" t="s">
        <v>148</v>
      </c>
      <c r="C142">
        <v>1.6064890000000001</v>
      </c>
      <c r="D142">
        <v>3130756</v>
      </c>
      <c r="E142">
        <v>26.650919999999999</v>
      </c>
      <c r="F142">
        <v>1005023</v>
      </c>
      <c r="G142">
        <v>0.31976769999999999</v>
      </c>
      <c r="H142">
        <v>2.855</v>
      </c>
      <c r="I142">
        <v>725.9</v>
      </c>
      <c r="J142" s="1">
        <v>223172520.7974695</v>
      </c>
      <c r="K142" s="1">
        <v>307442.5138413962</v>
      </c>
      <c r="L142">
        <v>0</v>
      </c>
      <c r="M142">
        <v>1</v>
      </c>
      <c r="N142">
        <v>0</v>
      </c>
      <c r="P142" s="9"/>
    </row>
    <row r="143" spans="1:16" x14ac:dyDescent="0.3">
      <c r="A143">
        <v>6257</v>
      </c>
      <c r="B143" t="s">
        <v>149</v>
      </c>
      <c r="C143">
        <v>2.6466699999999999</v>
      </c>
      <c r="D143">
        <v>8984847</v>
      </c>
      <c r="E143">
        <v>30.15605</v>
      </c>
      <c r="F143">
        <v>2773850</v>
      </c>
      <c r="G143">
        <v>0.32613379999999997</v>
      </c>
      <c r="H143">
        <v>3.0750000000000002</v>
      </c>
      <c r="I143">
        <v>2673</v>
      </c>
      <c r="J143" s="1">
        <v>390576510.49656439</v>
      </c>
      <c r="K143" s="1">
        <v>146119.15843492869</v>
      </c>
      <c r="L143">
        <v>1</v>
      </c>
      <c r="M143">
        <v>0</v>
      </c>
      <c r="N143">
        <v>0</v>
      </c>
      <c r="P143" s="9"/>
    </row>
    <row r="144" spans="1:16" x14ac:dyDescent="0.3">
      <c r="A144">
        <v>6264</v>
      </c>
      <c r="B144" t="s">
        <v>150</v>
      </c>
      <c r="C144">
        <v>1.8527670000000001</v>
      </c>
      <c r="D144">
        <v>5222799</v>
      </c>
      <c r="E144">
        <v>26.133649999999999</v>
      </c>
      <c r="F144">
        <v>1796410</v>
      </c>
      <c r="G144">
        <v>0.34809119999999999</v>
      </c>
      <c r="H144">
        <v>3.4075000000000002</v>
      </c>
      <c r="I144">
        <v>1300</v>
      </c>
      <c r="J144" s="1">
        <v>334718023.55973607</v>
      </c>
      <c r="K144" s="1">
        <v>257475.4027382585</v>
      </c>
      <c r="L144">
        <v>0</v>
      </c>
      <c r="M144">
        <v>1</v>
      </c>
      <c r="N144">
        <v>0</v>
      </c>
      <c r="P144" s="9"/>
    </row>
    <row r="145" spans="1:16" x14ac:dyDescent="0.3">
      <c r="A145">
        <v>6288</v>
      </c>
      <c r="B145" t="s">
        <v>151</v>
      </c>
      <c r="C145">
        <v>3.3792070000000001</v>
      </c>
      <c r="D145">
        <v>398649.3</v>
      </c>
      <c r="E145">
        <v>58.749049999999997</v>
      </c>
      <c r="F145">
        <v>99173.82</v>
      </c>
      <c r="G145">
        <v>0.2495965</v>
      </c>
      <c r="H145">
        <v>7.3</v>
      </c>
      <c r="I145">
        <v>90</v>
      </c>
      <c r="J145" s="1">
        <v>34460197.565707378</v>
      </c>
      <c r="K145" s="1">
        <v>382891.0840634153</v>
      </c>
      <c r="L145">
        <v>0</v>
      </c>
      <c r="M145">
        <v>1</v>
      </c>
      <c r="N145">
        <v>0</v>
      </c>
      <c r="P145" s="9"/>
    </row>
    <row r="146" spans="1:16" x14ac:dyDescent="0.3">
      <c r="A146">
        <v>6469</v>
      </c>
      <c r="B146" t="s">
        <v>152</v>
      </c>
      <c r="C146">
        <v>1.2444170000000001</v>
      </c>
      <c r="D146">
        <v>5567043</v>
      </c>
      <c r="E146">
        <v>25.497199999999999</v>
      </c>
      <c r="F146">
        <v>1670760</v>
      </c>
      <c r="G146">
        <v>0.30317810000000001</v>
      </c>
      <c r="H146">
        <v>2.8033329999999999</v>
      </c>
      <c r="I146">
        <v>954</v>
      </c>
      <c r="J146" s="1">
        <v>280765711.50702113</v>
      </c>
      <c r="K146" s="1">
        <v>294303.68082496972</v>
      </c>
      <c r="L146">
        <v>0</v>
      </c>
      <c r="M146">
        <v>1</v>
      </c>
      <c r="N146">
        <v>0</v>
      </c>
      <c r="O146" s="1">
        <v>5324344</v>
      </c>
      <c r="P146" s="9" t="s">
        <v>460</v>
      </c>
    </row>
    <row r="147" spans="1:16" x14ac:dyDescent="0.3">
      <c r="A147">
        <v>6481</v>
      </c>
      <c r="B147" t="s">
        <v>153</v>
      </c>
      <c r="C147">
        <v>2.2692380000000001</v>
      </c>
      <c r="D147">
        <v>5941631</v>
      </c>
      <c r="E147">
        <v>24.416740000000001</v>
      </c>
      <c r="F147">
        <v>2042309</v>
      </c>
      <c r="G147">
        <v>0.35354639999999998</v>
      </c>
      <c r="H147">
        <v>7.7850000000000001</v>
      </c>
      <c r="I147">
        <v>1640</v>
      </c>
      <c r="J147" s="1">
        <v>268825549.70829588</v>
      </c>
      <c r="K147" s="1">
        <v>163918.01811481456</v>
      </c>
      <c r="L147">
        <v>0</v>
      </c>
      <c r="M147">
        <v>1</v>
      </c>
      <c r="N147">
        <v>0</v>
      </c>
      <c r="P147" s="9"/>
    </row>
    <row r="148" spans="1:16" x14ac:dyDescent="0.3">
      <c r="A148">
        <v>6639</v>
      </c>
      <c r="B148" t="s">
        <v>154</v>
      </c>
      <c r="C148">
        <v>2.0434380000000001</v>
      </c>
      <c r="D148">
        <v>1755867</v>
      </c>
      <c r="E148">
        <v>26.56202</v>
      </c>
      <c r="F148">
        <v>549749.6</v>
      </c>
      <c r="G148">
        <v>0.38116339999999999</v>
      </c>
      <c r="H148">
        <v>3.4791669999999999</v>
      </c>
      <c r="I148">
        <v>293</v>
      </c>
      <c r="J148" s="1">
        <v>163151506.7907286</v>
      </c>
      <c r="K148" s="1">
        <v>556831.08119702595</v>
      </c>
      <c r="L148">
        <v>0</v>
      </c>
      <c r="M148">
        <v>1</v>
      </c>
      <c r="N148">
        <v>0</v>
      </c>
      <c r="P148" s="9"/>
    </row>
    <row r="149" spans="1:16" x14ac:dyDescent="0.3">
      <c r="A149">
        <v>6641</v>
      </c>
      <c r="B149" t="s">
        <v>155</v>
      </c>
      <c r="C149">
        <v>2.1322580000000002</v>
      </c>
      <c r="D149">
        <v>4696819</v>
      </c>
      <c r="E149">
        <v>25.297910000000002</v>
      </c>
      <c r="F149">
        <v>1527261</v>
      </c>
      <c r="G149">
        <v>0.33000449999999998</v>
      </c>
      <c r="H149">
        <v>2.6941670000000002</v>
      </c>
      <c r="I149">
        <v>1800</v>
      </c>
      <c r="J149" s="1">
        <v>243435492.47146079</v>
      </c>
      <c r="K149" s="1">
        <v>135241.94026192266</v>
      </c>
      <c r="L149">
        <v>1</v>
      </c>
      <c r="M149">
        <v>0</v>
      </c>
      <c r="N149">
        <v>0</v>
      </c>
      <c r="P149" s="9"/>
    </row>
    <row r="150" spans="1:16" x14ac:dyDescent="0.3">
      <c r="A150">
        <v>6664</v>
      </c>
      <c r="B150" t="s">
        <v>156</v>
      </c>
      <c r="C150">
        <v>1.8583890000000001</v>
      </c>
      <c r="D150">
        <v>3109828</v>
      </c>
      <c r="E150">
        <v>26.650919999999999</v>
      </c>
      <c r="F150">
        <v>999826.7</v>
      </c>
      <c r="G150">
        <v>0.32635940000000002</v>
      </c>
      <c r="H150">
        <v>2.855</v>
      </c>
      <c r="I150">
        <v>811.9</v>
      </c>
      <c r="J150" s="1">
        <v>217958486.5816423</v>
      </c>
      <c r="K150" s="1">
        <v>268454.84244567348</v>
      </c>
      <c r="L150">
        <v>0</v>
      </c>
      <c r="M150">
        <v>1</v>
      </c>
      <c r="N150">
        <v>0</v>
      </c>
      <c r="O150" s="1">
        <v>2583695</v>
      </c>
      <c r="P150" s="9" t="s">
        <v>458</v>
      </c>
    </row>
    <row r="151" spans="1:16" x14ac:dyDescent="0.3">
      <c r="A151">
        <v>6705</v>
      </c>
      <c r="B151" t="s">
        <v>157</v>
      </c>
      <c r="C151">
        <v>2.2665000000000002</v>
      </c>
      <c r="D151">
        <v>4228558</v>
      </c>
      <c r="E151">
        <v>30.23762</v>
      </c>
      <c r="F151">
        <v>1280228</v>
      </c>
      <c r="G151">
        <v>0.30846519999999999</v>
      </c>
      <c r="H151">
        <v>3.1758329999999999</v>
      </c>
      <c r="I151">
        <v>822.8</v>
      </c>
      <c r="J151" s="1">
        <v>243421797.1878131</v>
      </c>
      <c r="K151" s="1">
        <v>295845.64558557741</v>
      </c>
      <c r="L151">
        <v>1</v>
      </c>
      <c r="M151">
        <v>0</v>
      </c>
      <c r="N151">
        <v>0</v>
      </c>
      <c r="P151" s="9"/>
    </row>
    <row r="152" spans="1:16" x14ac:dyDescent="0.3">
      <c r="A152">
        <v>6761</v>
      </c>
      <c r="B152" t="s">
        <v>158</v>
      </c>
      <c r="C152">
        <v>1.401259</v>
      </c>
      <c r="D152">
        <v>1571232</v>
      </c>
      <c r="E152">
        <v>31.033799999999999</v>
      </c>
      <c r="F152">
        <v>529328.5</v>
      </c>
      <c r="G152">
        <v>0.33929280000000001</v>
      </c>
      <c r="H152">
        <v>3.7858329999999998</v>
      </c>
      <c r="I152">
        <v>293.60000000000002</v>
      </c>
      <c r="J152" s="1">
        <v>142625017.207616</v>
      </c>
      <c r="K152" s="1">
        <v>485780.0313610899</v>
      </c>
      <c r="L152">
        <v>0</v>
      </c>
      <c r="M152">
        <v>1</v>
      </c>
      <c r="N152">
        <v>0</v>
      </c>
      <c r="O152" s="1">
        <v>440541</v>
      </c>
      <c r="P152" s="9" t="s">
        <v>460</v>
      </c>
    </row>
    <row r="153" spans="1:16" x14ac:dyDescent="0.3">
      <c r="A153">
        <v>6768</v>
      </c>
      <c r="B153" t="s">
        <v>159</v>
      </c>
      <c r="C153">
        <v>1.939136</v>
      </c>
      <c r="D153">
        <v>1448874</v>
      </c>
      <c r="E153">
        <v>28.703389999999999</v>
      </c>
      <c r="F153">
        <v>471693.9</v>
      </c>
      <c r="G153">
        <v>0.32428829999999997</v>
      </c>
      <c r="H153">
        <v>2.985833</v>
      </c>
      <c r="I153">
        <v>261</v>
      </c>
      <c r="J153" s="1">
        <v>150424653.77141431</v>
      </c>
      <c r="K153" s="1">
        <v>576339.66962227703</v>
      </c>
      <c r="L153">
        <v>0</v>
      </c>
      <c r="M153">
        <v>1</v>
      </c>
      <c r="N153">
        <v>0</v>
      </c>
      <c r="P153" s="9"/>
    </row>
    <row r="154" spans="1:16" x14ac:dyDescent="0.3">
      <c r="A154">
        <v>6772</v>
      </c>
      <c r="B154" t="s">
        <v>160</v>
      </c>
      <c r="C154">
        <v>1.9753670000000001</v>
      </c>
      <c r="D154">
        <v>774250.9</v>
      </c>
      <c r="E154">
        <v>24.509060000000002</v>
      </c>
      <c r="F154">
        <v>231189.2</v>
      </c>
      <c r="G154">
        <v>0.31021710000000002</v>
      </c>
      <c r="H154">
        <v>3.1266669999999999</v>
      </c>
      <c r="I154">
        <v>446</v>
      </c>
      <c r="J154" s="1">
        <v>49164305.555809952</v>
      </c>
      <c r="K154" s="1">
        <v>110233.86895921513</v>
      </c>
      <c r="L154">
        <v>0</v>
      </c>
      <c r="M154">
        <v>1</v>
      </c>
      <c r="N154">
        <v>0</v>
      </c>
      <c r="P154" s="9"/>
    </row>
    <row r="155" spans="1:16" x14ac:dyDescent="0.3">
      <c r="A155">
        <v>6823</v>
      </c>
      <c r="B155" t="s">
        <v>161</v>
      </c>
      <c r="C155">
        <v>2.0312670000000002</v>
      </c>
      <c r="D155">
        <v>2296236</v>
      </c>
      <c r="E155">
        <v>26.56202</v>
      </c>
      <c r="F155">
        <v>719621.8</v>
      </c>
      <c r="G155">
        <v>0.385042</v>
      </c>
      <c r="H155">
        <v>3.4791669999999999</v>
      </c>
      <c r="I155">
        <v>509.4</v>
      </c>
      <c r="J155" s="1">
        <v>197957797.29705319</v>
      </c>
      <c r="K155" s="1">
        <v>388609.73163928778</v>
      </c>
      <c r="L155">
        <v>0</v>
      </c>
      <c r="M155">
        <v>1</v>
      </c>
      <c r="N155">
        <v>0</v>
      </c>
      <c r="O155" s="1">
        <v>1800379</v>
      </c>
      <c r="P155" s="9" t="s">
        <v>457</v>
      </c>
    </row>
    <row r="156" spans="1:16" x14ac:dyDescent="0.3">
      <c r="A156">
        <v>7030</v>
      </c>
      <c r="B156" t="s">
        <v>162</v>
      </c>
      <c r="C156">
        <v>2.102833</v>
      </c>
      <c r="D156">
        <v>2352064</v>
      </c>
      <c r="E156">
        <v>26.15709</v>
      </c>
      <c r="F156">
        <v>684555.1</v>
      </c>
      <c r="G156">
        <v>0.29790620000000001</v>
      </c>
      <c r="H156">
        <v>2.7158329999999999</v>
      </c>
      <c r="I156">
        <v>349.2</v>
      </c>
      <c r="J156" s="1">
        <v>191557137.7162022</v>
      </c>
      <c r="K156" s="1">
        <v>548559.9590956535</v>
      </c>
      <c r="L156">
        <v>0</v>
      </c>
      <c r="M156">
        <v>1</v>
      </c>
      <c r="N156">
        <v>0</v>
      </c>
      <c r="O156" s="1">
        <v>-586567</v>
      </c>
      <c r="P156" s="9" t="s">
        <v>458</v>
      </c>
    </row>
    <row r="157" spans="1:16" x14ac:dyDescent="0.3">
      <c r="A157">
        <v>7097</v>
      </c>
      <c r="B157" t="s">
        <v>163</v>
      </c>
      <c r="C157">
        <v>1.9116059999999999</v>
      </c>
      <c r="D157">
        <v>5564881</v>
      </c>
      <c r="E157">
        <v>26.15709</v>
      </c>
      <c r="F157">
        <v>1898189</v>
      </c>
      <c r="G157">
        <v>0.34779270000000001</v>
      </c>
      <c r="H157">
        <v>2.7158329999999999</v>
      </c>
      <c r="I157">
        <v>1488.5</v>
      </c>
      <c r="J157" s="1">
        <v>260851150.87277991</v>
      </c>
      <c r="K157" s="1">
        <v>175244.30693502177</v>
      </c>
      <c r="L157">
        <v>1</v>
      </c>
      <c r="M157">
        <v>0</v>
      </c>
      <c r="N157">
        <v>0</v>
      </c>
      <c r="O157" s="1">
        <v>52756672</v>
      </c>
      <c r="P157" s="9" t="s">
        <v>460</v>
      </c>
    </row>
    <row r="158" spans="1:16" x14ac:dyDescent="0.3">
      <c r="A158">
        <v>7213</v>
      </c>
      <c r="B158" t="s">
        <v>164</v>
      </c>
      <c r="C158">
        <v>3.1529120000000002</v>
      </c>
      <c r="D158">
        <v>1222702</v>
      </c>
      <c r="E158">
        <v>28.113340000000001</v>
      </c>
      <c r="F158">
        <v>395963</v>
      </c>
      <c r="G158">
        <v>0.34018080000000001</v>
      </c>
      <c r="H158">
        <v>3.8466670000000001</v>
      </c>
      <c r="I158">
        <v>848</v>
      </c>
      <c r="J158" s="1">
        <v>54656969.548858628</v>
      </c>
      <c r="K158" s="1">
        <v>64453.973524597437</v>
      </c>
      <c r="L158">
        <v>1</v>
      </c>
      <c r="M158">
        <v>0</v>
      </c>
      <c r="N158">
        <v>0</v>
      </c>
      <c r="O158" s="1">
        <v>1689580</v>
      </c>
      <c r="P158" s="9" t="s">
        <v>460</v>
      </c>
    </row>
    <row r="159" spans="1:16" x14ac:dyDescent="0.3">
      <c r="A159">
        <v>7343</v>
      </c>
      <c r="B159" t="s">
        <v>165</v>
      </c>
      <c r="C159">
        <v>1.72725</v>
      </c>
      <c r="D159">
        <v>1363332</v>
      </c>
      <c r="E159">
        <v>26.650919999999999</v>
      </c>
      <c r="F159">
        <v>440677.8</v>
      </c>
      <c r="G159">
        <v>0.32795950000000001</v>
      </c>
      <c r="H159">
        <v>2.855</v>
      </c>
      <c r="I159">
        <v>695.9</v>
      </c>
      <c r="J159" s="1">
        <v>160406695.6686509</v>
      </c>
      <c r="K159" s="1">
        <v>230502.50850503074</v>
      </c>
      <c r="L159">
        <v>0</v>
      </c>
      <c r="M159">
        <v>1</v>
      </c>
      <c r="N159">
        <v>0</v>
      </c>
      <c r="P159" s="9"/>
    </row>
    <row r="160" spans="1:16" x14ac:dyDescent="0.3">
      <c r="A160">
        <v>7504</v>
      </c>
      <c r="B160" t="s">
        <v>166</v>
      </c>
      <c r="C160">
        <v>0.92200000000000004</v>
      </c>
      <c r="D160">
        <v>659954.9</v>
      </c>
      <c r="E160">
        <v>24.022069999999999</v>
      </c>
      <c r="F160">
        <v>181185.4</v>
      </c>
      <c r="G160">
        <v>0.2779914</v>
      </c>
      <c r="H160">
        <v>6.55</v>
      </c>
      <c r="I160">
        <v>90</v>
      </c>
      <c r="J160" s="1">
        <v>34323470.247426383</v>
      </c>
      <c r="K160" s="1">
        <v>381371.89163807093</v>
      </c>
      <c r="L160">
        <v>0</v>
      </c>
      <c r="M160">
        <v>0</v>
      </c>
      <c r="N160">
        <v>1</v>
      </c>
      <c r="P160" s="9"/>
    </row>
    <row r="161" spans="1:16" x14ac:dyDescent="0.3">
      <c r="A161">
        <v>7790</v>
      </c>
      <c r="B161" t="s">
        <v>167</v>
      </c>
      <c r="C161">
        <v>2.2624559999999998</v>
      </c>
      <c r="D161">
        <v>2870764</v>
      </c>
      <c r="E161">
        <v>24.416740000000001</v>
      </c>
      <c r="F161">
        <v>967663.5</v>
      </c>
      <c r="G161">
        <v>0.33470620000000001</v>
      </c>
      <c r="H161">
        <v>7.7850000000000001</v>
      </c>
      <c r="I161">
        <v>499.5</v>
      </c>
      <c r="J161" s="1">
        <v>212602834.63353381</v>
      </c>
      <c r="K161" s="1">
        <v>425631.30056763522</v>
      </c>
      <c r="L161">
        <v>0</v>
      </c>
      <c r="M161">
        <v>1</v>
      </c>
      <c r="N161">
        <v>0</v>
      </c>
      <c r="O161" s="1">
        <v>11613660</v>
      </c>
      <c r="P161" s="9" t="s">
        <v>460</v>
      </c>
    </row>
    <row r="162" spans="1:16" x14ac:dyDescent="0.3">
      <c r="A162">
        <v>7902</v>
      </c>
      <c r="B162" t="s">
        <v>168</v>
      </c>
      <c r="C162">
        <v>4.0714139999999999</v>
      </c>
      <c r="D162">
        <v>2789818</v>
      </c>
      <c r="E162">
        <v>26.15709</v>
      </c>
      <c r="F162">
        <v>880834.3</v>
      </c>
      <c r="G162">
        <v>0.3192429</v>
      </c>
      <c r="H162">
        <v>2.7158329999999999</v>
      </c>
      <c r="I162">
        <v>721</v>
      </c>
      <c r="J162" s="1">
        <v>216299719.1726087</v>
      </c>
      <c r="K162" s="1">
        <v>299999.61050292471</v>
      </c>
      <c r="L162">
        <v>1</v>
      </c>
      <c r="M162">
        <v>0</v>
      </c>
      <c r="N162">
        <v>0</v>
      </c>
      <c r="P162" s="9"/>
    </row>
    <row r="163" spans="1:16" x14ac:dyDescent="0.3">
      <c r="A163">
        <v>8023</v>
      </c>
      <c r="B163" t="s">
        <v>169</v>
      </c>
      <c r="C163">
        <v>2.2091379999999998</v>
      </c>
      <c r="D163">
        <v>4793531</v>
      </c>
      <c r="E163">
        <v>32.221710000000002</v>
      </c>
      <c r="F163">
        <v>1542528</v>
      </c>
      <c r="G163">
        <v>0.32192280000000001</v>
      </c>
      <c r="H163">
        <v>3.8558330000000001</v>
      </c>
      <c r="I163">
        <v>1112</v>
      </c>
      <c r="J163" s="1">
        <v>303831996.83632272</v>
      </c>
      <c r="K163" s="1">
        <v>273230.21298230463</v>
      </c>
      <c r="L163">
        <v>1</v>
      </c>
      <c r="M163">
        <v>0</v>
      </c>
      <c r="N163">
        <v>0</v>
      </c>
      <c r="P163" s="9"/>
    </row>
    <row r="164" spans="1:16" x14ac:dyDescent="0.3">
      <c r="A164">
        <v>8066</v>
      </c>
      <c r="B164" t="s">
        <v>170</v>
      </c>
      <c r="C164">
        <v>2.6978110000000002</v>
      </c>
      <c r="D164">
        <v>9588836</v>
      </c>
      <c r="E164">
        <v>24.022069999999999</v>
      </c>
      <c r="F164">
        <v>3052897</v>
      </c>
      <c r="G164">
        <v>0.32869949999999998</v>
      </c>
      <c r="H164">
        <v>6.55</v>
      </c>
      <c r="I164">
        <v>2441.9</v>
      </c>
      <c r="J164" s="1">
        <v>372217591.00948101</v>
      </c>
      <c r="K164" s="1">
        <v>152429.49793582087</v>
      </c>
      <c r="L164">
        <v>0</v>
      </c>
      <c r="M164">
        <v>1</v>
      </c>
      <c r="N164">
        <v>0</v>
      </c>
      <c r="O164" s="1">
        <v>56875024</v>
      </c>
      <c r="P164" s="9" t="s">
        <v>460</v>
      </c>
    </row>
    <row r="165" spans="1:16" x14ac:dyDescent="0.3">
      <c r="A165">
        <v>8069</v>
      </c>
      <c r="B165" t="s">
        <v>171</v>
      </c>
      <c r="C165">
        <v>1.993123</v>
      </c>
      <c r="D165">
        <v>4614593</v>
      </c>
      <c r="E165">
        <v>24.416740000000001</v>
      </c>
      <c r="F165">
        <v>1503408</v>
      </c>
      <c r="G165">
        <v>0.33430280000000001</v>
      </c>
      <c r="H165">
        <v>7.7850000000000001</v>
      </c>
      <c r="I165">
        <v>1037.3</v>
      </c>
      <c r="J165" s="1">
        <v>307569692.97396117</v>
      </c>
      <c r="K165" s="1">
        <v>296509.87464953359</v>
      </c>
      <c r="L165">
        <v>0</v>
      </c>
      <c r="M165">
        <v>1</v>
      </c>
      <c r="N165">
        <v>0</v>
      </c>
      <c r="O165" s="1">
        <v>43792128</v>
      </c>
      <c r="P165" s="9" t="s">
        <v>458</v>
      </c>
    </row>
    <row r="166" spans="1:16" x14ac:dyDescent="0.3">
      <c r="A166">
        <v>8102</v>
      </c>
      <c r="B166" t="s">
        <v>172</v>
      </c>
      <c r="C166">
        <v>1.991833</v>
      </c>
      <c r="D166">
        <v>11500000</v>
      </c>
      <c r="E166">
        <v>28.911960000000001</v>
      </c>
      <c r="F166">
        <v>3912683</v>
      </c>
      <c r="G166">
        <v>0.34499849999999999</v>
      </c>
      <c r="H166">
        <v>2.5299999999999998</v>
      </c>
      <c r="I166">
        <v>2600</v>
      </c>
      <c r="J166" s="1">
        <v>430603833.45423061</v>
      </c>
      <c r="K166" s="1">
        <v>165616.85902085793</v>
      </c>
      <c r="L166">
        <v>1</v>
      </c>
      <c r="M166">
        <v>0</v>
      </c>
      <c r="N166">
        <v>0</v>
      </c>
      <c r="O166" s="1">
        <v>123770656</v>
      </c>
      <c r="P166" s="9" t="s">
        <v>458</v>
      </c>
    </row>
    <row r="167" spans="1:16" x14ac:dyDescent="0.3">
      <c r="A167">
        <v>8219</v>
      </c>
      <c r="B167" t="s">
        <v>173</v>
      </c>
      <c r="C167">
        <v>1.6430009999999999</v>
      </c>
      <c r="D167">
        <v>1049868</v>
      </c>
      <c r="E167">
        <v>31.033799999999999</v>
      </c>
      <c r="F167">
        <v>338831.8</v>
      </c>
      <c r="G167">
        <v>0.32415719999999998</v>
      </c>
      <c r="H167">
        <v>3.7858329999999998</v>
      </c>
      <c r="I167">
        <v>207</v>
      </c>
      <c r="J167" s="1">
        <v>47439047.265851922</v>
      </c>
      <c r="K167" s="1">
        <v>229174.14138092715</v>
      </c>
      <c r="L167">
        <v>1</v>
      </c>
      <c r="M167">
        <v>0</v>
      </c>
      <c r="N167">
        <v>0</v>
      </c>
      <c r="P167" s="9"/>
    </row>
    <row r="168" spans="1:16" x14ac:dyDescent="0.3">
      <c r="A168">
        <v>8222</v>
      </c>
      <c r="B168" t="s">
        <v>174</v>
      </c>
      <c r="C168">
        <v>2.1764559999999999</v>
      </c>
      <c r="D168">
        <v>2357098</v>
      </c>
      <c r="E168">
        <v>25.497199999999999</v>
      </c>
      <c r="F168">
        <v>696557.7</v>
      </c>
      <c r="G168">
        <v>0.30071579999999998</v>
      </c>
      <c r="H168">
        <v>2.8033329999999999</v>
      </c>
      <c r="I168">
        <v>450</v>
      </c>
      <c r="J168" s="1">
        <v>218393604.8319495</v>
      </c>
      <c r="K168" s="1">
        <v>485319.12184877665</v>
      </c>
      <c r="L168">
        <v>0</v>
      </c>
      <c r="M168">
        <v>1</v>
      </c>
      <c r="N168">
        <v>0</v>
      </c>
      <c r="O168" s="1">
        <v>35830380</v>
      </c>
      <c r="P168" s="9" t="s">
        <v>458</v>
      </c>
    </row>
    <row r="169" spans="1:16" x14ac:dyDescent="0.3">
      <c r="A169">
        <v>8223</v>
      </c>
      <c r="B169" t="s">
        <v>175</v>
      </c>
      <c r="C169">
        <v>2.1736490000000002</v>
      </c>
      <c r="D169">
        <v>7174921</v>
      </c>
      <c r="E169">
        <v>31.18571</v>
      </c>
      <c r="F169">
        <v>2311731</v>
      </c>
      <c r="G169">
        <v>0.32993220000000001</v>
      </c>
      <c r="H169">
        <v>4.5191660000000002</v>
      </c>
      <c r="I169">
        <v>1765.8</v>
      </c>
      <c r="J169" s="1">
        <v>225333292.93269151</v>
      </c>
      <c r="K169" s="1">
        <v>127609.74795146195</v>
      </c>
      <c r="L169">
        <v>1</v>
      </c>
      <c r="M169">
        <v>0</v>
      </c>
      <c r="N169">
        <v>0</v>
      </c>
      <c r="P169" s="9"/>
    </row>
    <row r="170" spans="1:16" x14ac:dyDescent="0.3">
      <c r="A170">
        <v>8224</v>
      </c>
      <c r="B170" t="s">
        <v>176</v>
      </c>
      <c r="C170">
        <v>2.8003939999999998</v>
      </c>
      <c r="D170">
        <v>1400892</v>
      </c>
      <c r="E170">
        <v>26.217659999999999</v>
      </c>
      <c r="F170">
        <v>400960.3</v>
      </c>
      <c r="G170">
        <v>0.31261109999999998</v>
      </c>
      <c r="H170">
        <v>7.1808329999999998</v>
      </c>
      <c r="I170">
        <v>567</v>
      </c>
      <c r="J170" s="1">
        <v>159440194.97649261</v>
      </c>
      <c r="K170" s="1">
        <v>281199.63840651256</v>
      </c>
      <c r="L170">
        <v>0</v>
      </c>
      <c r="M170">
        <v>1</v>
      </c>
      <c r="N170">
        <v>0</v>
      </c>
      <c r="O170" s="1">
        <v>65899672</v>
      </c>
      <c r="P170" s="9" t="s">
        <v>457</v>
      </c>
    </row>
    <row r="171" spans="1:16" x14ac:dyDescent="0.3">
      <c r="A171">
        <v>10113</v>
      </c>
      <c r="B171" t="s">
        <v>177</v>
      </c>
      <c r="C171">
        <v>3.278</v>
      </c>
      <c r="D171">
        <v>743679</v>
      </c>
      <c r="E171">
        <v>30.118929999999999</v>
      </c>
      <c r="F171">
        <v>175813.7</v>
      </c>
      <c r="G171">
        <v>0.2461709</v>
      </c>
      <c r="H171">
        <v>2.1033330000000001</v>
      </c>
      <c r="I171">
        <v>88.4</v>
      </c>
      <c r="J171" s="1">
        <v>47995302.948458143</v>
      </c>
      <c r="K171" s="1">
        <v>542933.29127215093</v>
      </c>
      <c r="L171">
        <v>1</v>
      </c>
      <c r="M171">
        <v>0</v>
      </c>
      <c r="N171">
        <v>0</v>
      </c>
      <c r="P171" s="9"/>
    </row>
    <row r="172" spans="1:16" x14ac:dyDescent="0.3">
      <c r="A172">
        <v>10143</v>
      </c>
      <c r="B172" t="s">
        <v>178</v>
      </c>
      <c r="C172">
        <v>3.278</v>
      </c>
      <c r="D172">
        <v>651703.80000000005</v>
      </c>
      <c r="E172">
        <v>30.118929999999999</v>
      </c>
      <c r="F172">
        <v>193789.1</v>
      </c>
      <c r="G172">
        <v>0.30659439999999999</v>
      </c>
      <c r="H172">
        <v>2.1033330000000001</v>
      </c>
      <c r="I172">
        <v>118</v>
      </c>
      <c r="J172" s="1">
        <v>45312888.018625788</v>
      </c>
      <c r="K172" s="1">
        <v>384007.52558157447</v>
      </c>
      <c r="L172">
        <v>1</v>
      </c>
      <c r="M172">
        <v>0</v>
      </c>
      <c r="N172">
        <v>0</v>
      </c>
      <c r="P172" s="9"/>
    </row>
    <row r="173" spans="1:16" x14ac:dyDescent="0.3">
      <c r="A173">
        <v>10151</v>
      </c>
      <c r="B173" t="s">
        <v>179</v>
      </c>
      <c r="C173">
        <v>2.1786669999999999</v>
      </c>
      <c r="D173">
        <v>686684.3</v>
      </c>
      <c r="E173">
        <v>26.133649999999999</v>
      </c>
      <c r="F173">
        <v>175962.9</v>
      </c>
      <c r="G173">
        <v>0.25900859999999998</v>
      </c>
      <c r="H173">
        <v>3.4075000000000002</v>
      </c>
      <c r="I173">
        <v>95.7</v>
      </c>
      <c r="J173" s="1">
        <v>46501758.338300169</v>
      </c>
      <c r="K173" s="1">
        <v>485911.7903688628</v>
      </c>
      <c r="L173">
        <v>1</v>
      </c>
      <c r="M173">
        <v>0</v>
      </c>
      <c r="N173">
        <v>0</v>
      </c>
      <c r="P173" s="9"/>
    </row>
    <row r="174" spans="1:16" x14ac:dyDescent="0.3">
      <c r="A174">
        <v>10234</v>
      </c>
      <c r="B174" t="s">
        <v>180</v>
      </c>
      <c r="C174">
        <v>2.194833</v>
      </c>
      <c r="D174">
        <v>162024.70000000001</v>
      </c>
      <c r="E174">
        <v>32.221710000000002</v>
      </c>
      <c r="F174">
        <v>54112.74</v>
      </c>
      <c r="G174">
        <v>0.1708201</v>
      </c>
      <c r="H174">
        <v>3.8558330000000001</v>
      </c>
      <c r="I174">
        <v>38.5</v>
      </c>
      <c r="J174" s="1">
        <v>10746705.84324432</v>
      </c>
      <c r="K174" s="1">
        <v>279135.21670764469</v>
      </c>
      <c r="L174">
        <v>1</v>
      </c>
      <c r="M174">
        <v>0</v>
      </c>
      <c r="N174">
        <v>0</v>
      </c>
      <c r="P174" s="9"/>
    </row>
    <row r="175" spans="1:16" x14ac:dyDescent="0.3">
      <c r="A175">
        <v>10343</v>
      </c>
      <c r="B175" t="s">
        <v>181</v>
      </c>
      <c r="C175">
        <v>3.278</v>
      </c>
      <c r="D175">
        <v>136762.70000000001</v>
      </c>
      <c r="E175">
        <v>30.118929999999999</v>
      </c>
      <c r="F175">
        <v>28299.13</v>
      </c>
      <c r="G175">
        <v>0.22831789999999999</v>
      </c>
      <c r="H175">
        <v>2.1033330000000001</v>
      </c>
      <c r="I175">
        <v>47.3</v>
      </c>
      <c r="J175" s="1">
        <v>15870090.66756505</v>
      </c>
      <c r="K175" s="1">
        <v>335519.88726353174</v>
      </c>
      <c r="L175">
        <v>0</v>
      </c>
      <c r="M175">
        <v>1</v>
      </c>
      <c r="N175">
        <v>0</v>
      </c>
      <c r="P175" s="9"/>
    </row>
    <row r="176" spans="1:16" x14ac:dyDescent="0.3">
      <c r="A176">
        <v>10603</v>
      </c>
      <c r="B176" t="s">
        <v>182</v>
      </c>
      <c r="C176">
        <v>3.278</v>
      </c>
      <c r="D176">
        <v>365400.6</v>
      </c>
      <c r="E176">
        <v>30.118929999999999</v>
      </c>
      <c r="F176">
        <v>82446.66</v>
      </c>
      <c r="G176">
        <v>0.23078509999999999</v>
      </c>
      <c r="H176">
        <v>2.1033330000000001</v>
      </c>
      <c r="I176">
        <v>57.6</v>
      </c>
      <c r="J176" s="1">
        <v>37909379.062287733</v>
      </c>
      <c r="K176" s="1">
        <v>658148.9420536065</v>
      </c>
      <c r="L176">
        <v>1</v>
      </c>
      <c r="M176">
        <v>0</v>
      </c>
      <c r="N176">
        <v>0</v>
      </c>
      <c r="P176" s="9"/>
    </row>
    <row r="177" spans="1:16" x14ac:dyDescent="0.3">
      <c r="A177">
        <v>10671</v>
      </c>
      <c r="B177" t="s">
        <v>183</v>
      </c>
      <c r="C177">
        <v>2.011908</v>
      </c>
      <c r="D177">
        <v>946586.6</v>
      </c>
      <c r="E177">
        <v>24.509060000000002</v>
      </c>
      <c r="F177">
        <v>282607.5</v>
      </c>
      <c r="G177">
        <v>0.29346270000000002</v>
      </c>
      <c r="H177">
        <v>3.1266669999999999</v>
      </c>
      <c r="I177">
        <v>350</v>
      </c>
      <c r="J177" s="1">
        <v>68632386.658011988</v>
      </c>
      <c r="K177" s="1">
        <v>196092.53330860569</v>
      </c>
      <c r="L177">
        <v>0</v>
      </c>
      <c r="M177">
        <v>1</v>
      </c>
      <c r="N177">
        <v>0</v>
      </c>
      <c r="P177" s="9"/>
    </row>
    <row r="178" spans="1:16" x14ac:dyDescent="0.3">
      <c r="A178">
        <v>10678</v>
      </c>
      <c r="B178" t="s">
        <v>184</v>
      </c>
      <c r="C178">
        <v>2.7831030000000001</v>
      </c>
      <c r="D178">
        <v>1074425</v>
      </c>
      <c r="E178">
        <v>34.464689999999997</v>
      </c>
      <c r="F178">
        <v>324795.2</v>
      </c>
      <c r="G178">
        <v>0.30899860000000001</v>
      </c>
      <c r="H178">
        <v>2.5966670000000001</v>
      </c>
      <c r="I178">
        <v>229</v>
      </c>
      <c r="J178" s="1">
        <v>49317525.322611898</v>
      </c>
      <c r="K178" s="1">
        <v>215360.37258782488</v>
      </c>
      <c r="L178">
        <v>1</v>
      </c>
      <c r="M178">
        <v>0</v>
      </c>
      <c r="N178">
        <v>0</v>
      </c>
      <c r="P178" s="9"/>
    </row>
    <row r="179" spans="1:16" x14ac:dyDescent="0.3">
      <c r="A179">
        <v>10743</v>
      </c>
      <c r="B179" t="s">
        <v>185</v>
      </c>
      <c r="C179">
        <v>2.1786669999999999</v>
      </c>
      <c r="D179">
        <v>328258.2</v>
      </c>
      <c r="E179">
        <v>26.133649999999999</v>
      </c>
      <c r="F179">
        <v>69130.53</v>
      </c>
      <c r="G179">
        <v>0.22724829999999999</v>
      </c>
      <c r="H179">
        <v>3.4075000000000002</v>
      </c>
      <c r="I179">
        <v>68.900000000000006</v>
      </c>
      <c r="J179" s="1">
        <v>39524258.240756251</v>
      </c>
      <c r="K179" s="1">
        <v>573646.70886438678</v>
      </c>
      <c r="L179">
        <v>0</v>
      </c>
      <c r="M179">
        <v>1</v>
      </c>
      <c r="N179">
        <v>0</v>
      </c>
      <c r="P179" s="9"/>
    </row>
    <row r="180" spans="1:16" x14ac:dyDescent="0.3">
      <c r="A180">
        <v>10784</v>
      </c>
      <c r="B180" t="s">
        <v>186</v>
      </c>
      <c r="C180">
        <v>2.087631</v>
      </c>
      <c r="D180">
        <v>351939</v>
      </c>
      <c r="E180">
        <v>27.20824</v>
      </c>
      <c r="F180">
        <v>86124.97</v>
      </c>
      <c r="G180">
        <v>0.2459237</v>
      </c>
      <c r="H180">
        <v>2.2374999999999998</v>
      </c>
      <c r="I180">
        <v>46.1</v>
      </c>
      <c r="J180" s="1">
        <v>38156219.457287878</v>
      </c>
      <c r="K180" s="1">
        <v>827683.71924702555</v>
      </c>
      <c r="L180">
        <v>0</v>
      </c>
      <c r="M180">
        <v>1</v>
      </c>
      <c r="N180">
        <v>0</v>
      </c>
      <c r="P180" s="9"/>
    </row>
    <row r="181" spans="1:16" x14ac:dyDescent="0.3">
      <c r="A181">
        <v>10849</v>
      </c>
      <c r="B181" t="s">
        <v>187</v>
      </c>
      <c r="C181">
        <v>2.1230000000000002</v>
      </c>
      <c r="D181">
        <v>156352.79999999999</v>
      </c>
      <c r="E181">
        <v>31.852930000000001</v>
      </c>
      <c r="F181">
        <v>38285.769999999997</v>
      </c>
      <c r="G181">
        <v>0.26572410000000002</v>
      </c>
      <c r="H181">
        <v>5.3266669999999996</v>
      </c>
      <c r="I181">
        <v>131.6</v>
      </c>
      <c r="J181" s="1">
        <v>10363535.68482157</v>
      </c>
      <c r="K181" s="1">
        <v>78750.271161258133</v>
      </c>
      <c r="L181">
        <v>0</v>
      </c>
      <c r="M181">
        <v>1</v>
      </c>
      <c r="N181">
        <v>0</v>
      </c>
      <c r="P181" s="9"/>
    </row>
    <row r="182" spans="1:16" x14ac:dyDescent="0.3">
      <c r="A182">
        <v>10860</v>
      </c>
      <c r="B182" t="s">
        <v>188</v>
      </c>
      <c r="C182">
        <v>1.619167</v>
      </c>
      <c r="D182">
        <v>1466508</v>
      </c>
      <c r="E182">
        <v>26.650919999999999</v>
      </c>
      <c r="F182">
        <v>217462.1</v>
      </c>
      <c r="G182">
        <v>0.14899889999999999</v>
      </c>
      <c r="H182">
        <v>2.855</v>
      </c>
      <c r="I182">
        <v>180</v>
      </c>
      <c r="J182" s="1">
        <v>163998956.76984039</v>
      </c>
      <c r="K182" s="1">
        <v>911105.3153880022</v>
      </c>
      <c r="L182">
        <v>0</v>
      </c>
      <c r="M182">
        <v>1</v>
      </c>
      <c r="N182">
        <v>0</v>
      </c>
      <c r="P182" s="9"/>
    </row>
    <row r="183" spans="1:16" x14ac:dyDescent="0.3">
      <c r="A183">
        <v>10864</v>
      </c>
      <c r="B183" t="s">
        <v>189</v>
      </c>
      <c r="C183">
        <v>1.619167</v>
      </c>
      <c r="D183">
        <v>2778041</v>
      </c>
      <c r="E183">
        <v>26.650919999999999</v>
      </c>
      <c r="F183">
        <v>199586.5</v>
      </c>
      <c r="G183">
        <v>7.0732299999999998E-2</v>
      </c>
      <c r="H183">
        <v>2.855</v>
      </c>
      <c r="I183">
        <v>256.10000000000002</v>
      </c>
      <c r="J183" s="1">
        <v>199190428.49397349</v>
      </c>
      <c r="K183" s="1">
        <v>777783.78951180587</v>
      </c>
      <c r="L183">
        <v>1</v>
      </c>
      <c r="M183">
        <v>0</v>
      </c>
      <c r="N183">
        <v>0</v>
      </c>
      <c r="P183" s="9"/>
    </row>
    <row r="184" spans="1:16" x14ac:dyDescent="0.3">
      <c r="A184">
        <v>10865</v>
      </c>
      <c r="B184" t="s">
        <v>190</v>
      </c>
      <c r="C184">
        <v>1.8321670000000001</v>
      </c>
      <c r="D184">
        <v>4158726</v>
      </c>
      <c r="E184">
        <v>29.876660000000001</v>
      </c>
      <c r="F184">
        <v>335835.4</v>
      </c>
      <c r="G184">
        <v>9.0389999999999998E-2</v>
      </c>
      <c r="H184">
        <v>2.8308330000000002</v>
      </c>
      <c r="I184">
        <v>335</v>
      </c>
      <c r="J184" s="1">
        <v>227207069.06839079</v>
      </c>
      <c r="K184" s="1">
        <v>678230.05692056951</v>
      </c>
      <c r="L184">
        <v>1</v>
      </c>
      <c r="M184">
        <v>0</v>
      </c>
      <c r="N184">
        <v>0</v>
      </c>
      <c r="O184" s="1">
        <v>44637172</v>
      </c>
      <c r="P184" s="9" t="s">
        <v>457</v>
      </c>
    </row>
    <row r="185" spans="1:16" x14ac:dyDescent="0.3">
      <c r="A185">
        <v>50308</v>
      </c>
      <c r="B185" t="s">
        <v>191</v>
      </c>
      <c r="C185">
        <v>3.4871669999999999</v>
      </c>
      <c r="D185">
        <v>1303050</v>
      </c>
      <c r="E185">
        <v>58.749049999999997</v>
      </c>
      <c r="F185">
        <v>20523.07</v>
      </c>
      <c r="G185">
        <v>1.9304999999999999E-2</v>
      </c>
      <c r="H185">
        <v>7.3</v>
      </c>
      <c r="I185">
        <v>20</v>
      </c>
      <c r="J185" s="1">
        <v>175477343.50988469</v>
      </c>
      <c r="K185" s="1">
        <v>8773867.175494235</v>
      </c>
      <c r="L185">
        <v>0</v>
      </c>
      <c r="M185">
        <v>1</v>
      </c>
      <c r="N185">
        <v>0</v>
      </c>
      <c r="P185" s="9"/>
    </row>
    <row r="186" spans="1:16" x14ac:dyDescent="0.3">
      <c r="A186">
        <v>50392</v>
      </c>
      <c r="B186" t="s">
        <v>192</v>
      </c>
      <c r="C186">
        <v>3.4871669999999999</v>
      </c>
      <c r="D186">
        <v>1148402</v>
      </c>
      <c r="E186">
        <v>58.749049999999997</v>
      </c>
      <c r="F186">
        <v>20342.740000000002</v>
      </c>
      <c r="G186">
        <v>1.8913300000000001E-2</v>
      </c>
      <c r="H186">
        <v>7.3</v>
      </c>
      <c r="I186">
        <v>20</v>
      </c>
      <c r="J186" s="1">
        <v>60210002.65310394</v>
      </c>
      <c r="K186" s="1">
        <v>3010500.1326551968</v>
      </c>
      <c r="L186">
        <v>1</v>
      </c>
      <c r="M186">
        <v>0</v>
      </c>
      <c r="N186">
        <v>0</v>
      </c>
      <c r="P186" s="9"/>
    </row>
    <row r="187" spans="1:16" x14ac:dyDescent="0.3">
      <c r="A187">
        <v>50397</v>
      </c>
      <c r="B187" t="s">
        <v>193</v>
      </c>
      <c r="C187">
        <v>3.278</v>
      </c>
      <c r="D187">
        <v>196782.7</v>
      </c>
      <c r="E187">
        <v>30.118929999999999</v>
      </c>
      <c r="F187">
        <v>123169.5</v>
      </c>
      <c r="G187">
        <v>0.31361139999999998</v>
      </c>
      <c r="H187">
        <v>2.1033330000000001</v>
      </c>
      <c r="I187">
        <v>45.9</v>
      </c>
      <c r="J187" s="1">
        <v>26427963.468860518</v>
      </c>
      <c r="K187" s="1">
        <v>575772.62459391111</v>
      </c>
      <c r="L187">
        <v>0</v>
      </c>
      <c r="M187">
        <v>1</v>
      </c>
      <c r="N187">
        <v>0</v>
      </c>
      <c r="O187" s="1">
        <v>4883412</v>
      </c>
      <c r="P187" s="9" t="s">
        <v>458</v>
      </c>
    </row>
    <row r="188" spans="1:16" x14ac:dyDescent="0.3">
      <c r="A188">
        <v>50481</v>
      </c>
      <c r="B188" t="s">
        <v>194</v>
      </c>
      <c r="C188">
        <v>2.3111670000000002</v>
      </c>
      <c r="D188">
        <v>1646174</v>
      </c>
      <c r="E188">
        <v>28.94567</v>
      </c>
      <c r="F188">
        <v>313423.90000000002</v>
      </c>
      <c r="G188">
        <v>6.6605999999999999E-2</v>
      </c>
      <c r="H188">
        <v>2.8841670000000001</v>
      </c>
      <c r="I188">
        <v>110.5</v>
      </c>
      <c r="J188" s="1">
        <v>166109722.18969631</v>
      </c>
      <c r="K188" s="1">
        <v>1503255.4044316409</v>
      </c>
      <c r="L188">
        <v>1</v>
      </c>
      <c r="M188">
        <v>0</v>
      </c>
      <c r="N188">
        <v>0</v>
      </c>
      <c r="P188" s="9"/>
    </row>
    <row r="189" spans="1:16" x14ac:dyDescent="0.3">
      <c r="A189">
        <v>50611</v>
      </c>
      <c r="B189" t="s">
        <v>195</v>
      </c>
      <c r="C189">
        <v>3.278</v>
      </c>
      <c r="D189">
        <v>222907.7</v>
      </c>
      <c r="E189">
        <v>30.118929999999999</v>
      </c>
      <c r="F189">
        <v>47112.55</v>
      </c>
      <c r="G189">
        <v>0.21138789999999999</v>
      </c>
      <c r="H189">
        <v>2.1033330000000001</v>
      </c>
      <c r="I189">
        <v>36</v>
      </c>
      <c r="J189" s="1">
        <v>29228819.882081639</v>
      </c>
      <c r="K189" s="1">
        <v>811911.66339115659</v>
      </c>
      <c r="L189">
        <v>0</v>
      </c>
      <c r="M189">
        <v>1</v>
      </c>
      <c r="N189">
        <v>0</v>
      </c>
      <c r="P189" s="9"/>
    </row>
    <row r="190" spans="1:16" x14ac:dyDescent="0.3">
      <c r="A190">
        <v>50711</v>
      </c>
      <c r="B190" t="s">
        <v>196</v>
      </c>
      <c r="C190">
        <v>3.4871669999999999</v>
      </c>
      <c r="D190">
        <v>96884.98</v>
      </c>
      <c r="E190">
        <v>58.749049999999997</v>
      </c>
      <c r="F190">
        <v>12970.77</v>
      </c>
      <c r="G190">
        <v>9.3362500000000001E-2</v>
      </c>
      <c r="H190">
        <v>7.3</v>
      </c>
      <c r="I190">
        <v>30</v>
      </c>
      <c r="J190" s="1">
        <v>7477570.5781114763</v>
      </c>
      <c r="K190" s="1">
        <v>249252.35260371587</v>
      </c>
      <c r="L190">
        <v>1</v>
      </c>
      <c r="M190">
        <v>0</v>
      </c>
      <c r="N190">
        <v>0</v>
      </c>
      <c r="P190" s="9"/>
    </row>
    <row r="191" spans="1:16" x14ac:dyDescent="0.3">
      <c r="A191">
        <v>50776</v>
      </c>
      <c r="B191" t="s">
        <v>197</v>
      </c>
      <c r="C191">
        <v>3.278</v>
      </c>
      <c r="D191">
        <v>203398.6</v>
      </c>
      <c r="E191">
        <v>30.118929999999999</v>
      </c>
      <c r="F191">
        <v>54203.88</v>
      </c>
      <c r="G191">
        <v>0.25126680000000001</v>
      </c>
      <c r="H191">
        <v>2.1033330000000001</v>
      </c>
      <c r="I191">
        <v>94</v>
      </c>
      <c r="J191" s="1">
        <v>28505063.215488929</v>
      </c>
      <c r="K191" s="1">
        <v>303245.35335626523</v>
      </c>
      <c r="L191">
        <v>0</v>
      </c>
      <c r="M191">
        <v>1</v>
      </c>
      <c r="N191">
        <v>0</v>
      </c>
      <c r="P191" s="9"/>
    </row>
    <row r="192" spans="1:16" x14ac:dyDescent="0.3">
      <c r="A192">
        <v>50835</v>
      </c>
      <c r="B192" t="s">
        <v>198</v>
      </c>
      <c r="C192">
        <v>2.134833</v>
      </c>
      <c r="D192">
        <v>395513.9</v>
      </c>
      <c r="E192">
        <v>35.878749999999997</v>
      </c>
      <c r="F192">
        <v>139670.5</v>
      </c>
      <c r="G192">
        <v>0.34153129999999998</v>
      </c>
      <c r="H192">
        <v>2.8591669999999998</v>
      </c>
      <c r="I192">
        <v>70</v>
      </c>
      <c r="J192" s="1">
        <v>36968856.828508019</v>
      </c>
      <c r="K192" s="1">
        <v>528126.52612154314</v>
      </c>
      <c r="L192">
        <v>0</v>
      </c>
      <c r="M192">
        <v>1</v>
      </c>
      <c r="N192">
        <v>0</v>
      </c>
      <c r="P192" s="9"/>
    </row>
    <row r="193" spans="1:16" x14ac:dyDescent="0.3">
      <c r="A193">
        <v>50888</v>
      </c>
      <c r="B193" t="s">
        <v>199</v>
      </c>
      <c r="C193">
        <v>3.278</v>
      </c>
      <c r="D193">
        <v>155993.1</v>
      </c>
      <c r="E193">
        <v>30.118929999999999</v>
      </c>
      <c r="F193">
        <v>49426.63</v>
      </c>
      <c r="G193">
        <v>0.33923399999999998</v>
      </c>
      <c r="H193">
        <v>2.1033330000000001</v>
      </c>
      <c r="I193">
        <v>134.1</v>
      </c>
      <c r="J193" s="1">
        <v>12630774.90471809</v>
      </c>
      <c r="K193" s="1">
        <v>94189.2237488299</v>
      </c>
      <c r="L193">
        <v>1</v>
      </c>
      <c r="M193">
        <v>0</v>
      </c>
      <c r="N193">
        <v>0</v>
      </c>
      <c r="O193" s="1">
        <v>7228308</v>
      </c>
      <c r="P193" s="9" t="s">
        <v>457</v>
      </c>
    </row>
    <row r="194" spans="1:16" x14ac:dyDescent="0.3">
      <c r="A194">
        <v>50900</v>
      </c>
      <c r="B194" t="s">
        <v>200</v>
      </c>
      <c r="C194">
        <v>2.718</v>
      </c>
      <c r="D194">
        <v>682106.1</v>
      </c>
      <c r="E194">
        <v>28.113340000000001</v>
      </c>
      <c r="F194">
        <v>127704.8</v>
      </c>
      <c r="G194">
        <v>0.1636243</v>
      </c>
      <c r="H194">
        <v>3.8466670000000001</v>
      </c>
      <c r="I194">
        <v>44.5</v>
      </c>
      <c r="J194" s="1">
        <v>72831282.934310526</v>
      </c>
      <c r="K194" s="1">
        <v>1636658.0434676523</v>
      </c>
      <c r="L194">
        <v>0</v>
      </c>
      <c r="M194">
        <v>1</v>
      </c>
      <c r="N194">
        <v>0</v>
      </c>
      <c r="O194" s="1">
        <v>5474106</v>
      </c>
      <c r="P194" s="9" t="s">
        <v>458</v>
      </c>
    </row>
    <row r="195" spans="1:16" x14ac:dyDescent="0.3">
      <c r="A195">
        <v>50933</v>
      </c>
      <c r="B195" t="s">
        <v>201</v>
      </c>
      <c r="C195">
        <v>2.194833</v>
      </c>
      <c r="D195">
        <v>86166.07</v>
      </c>
      <c r="E195">
        <v>32.221710000000002</v>
      </c>
      <c r="F195">
        <v>2723.1190000000001</v>
      </c>
      <c r="G195">
        <v>8.2105999999999998E-2</v>
      </c>
      <c r="H195">
        <v>3.8558330000000001</v>
      </c>
      <c r="I195">
        <v>9.3000000000000007</v>
      </c>
      <c r="J195" s="1">
        <v>7484424.8076553755</v>
      </c>
      <c r="K195" s="1">
        <v>804776.86103821232</v>
      </c>
      <c r="L195">
        <v>1</v>
      </c>
      <c r="M195">
        <v>0</v>
      </c>
      <c r="N195">
        <v>0</v>
      </c>
      <c r="P195" s="9"/>
    </row>
    <row r="196" spans="1:16" x14ac:dyDescent="0.3">
      <c r="A196">
        <v>50951</v>
      </c>
      <c r="B196" t="s">
        <v>202</v>
      </c>
      <c r="C196">
        <v>2.0331670000000002</v>
      </c>
      <c r="D196">
        <v>393246</v>
      </c>
      <c r="E196">
        <v>24.416740000000001</v>
      </c>
      <c r="F196">
        <v>110419.1</v>
      </c>
      <c r="G196">
        <v>0.27703699999999998</v>
      </c>
      <c r="H196">
        <v>7.7850000000000001</v>
      </c>
      <c r="I196">
        <v>58.1</v>
      </c>
      <c r="J196" s="1">
        <v>36808790.905054167</v>
      </c>
      <c r="K196" s="1">
        <v>633542.01213518356</v>
      </c>
      <c r="L196">
        <v>0</v>
      </c>
      <c r="M196">
        <v>1</v>
      </c>
      <c r="N196">
        <v>0</v>
      </c>
      <c r="P196" s="9"/>
    </row>
    <row r="197" spans="1:16" x14ac:dyDescent="0.3">
      <c r="A197">
        <v>50974</v>
      </c>
      <c r="B197" t="s">
        <v>203</v>
      </c>
      <c r="C197">
        <v>3.278</v>
      </c>
      <c r="D197">
        <v>309163.2</v>
      </c>
      <c r="E197">
        <v>30.118929999999999</v>
      </c>
      <c r="F197">
        <v>77024.37</v>
      </c>
      <c r="G197">
        <v>0.25569979999999998</v>
      </c>
      <c r="H197">
        <v>2.1033330000000001</v>
      </c>
      <c r="I197">
        <v>94.7</v>
      </c>
      <c r="J197" s="1">
        <v>57477928.899042882</v>
      </c>
      <c r="K197" s="1">
        <v>606947.50685367349</v>
      </c>
      <c r="L197">
        <v>0</v>
      </c>
      <c r="M197">
        <v>1</v>
      </c>
      <c r="N197">
        <v>0</v>
      </c>
      <c r="P197" s="9"/>
    </row>
    <row r="198" spans="1:16" x14ac:dyDescent="0.3">
      <c r="A198">
        <v>54098</v>
      </c>
      <c r="B198" t="s">
        <v>204</v>
      </c>
      <c r="C198">
        <v>2.194833</v>
      </c>
      <c r="D198">
        <v>205496.9</v>
      </c>
      <c r="E198">
        <v>32.221710000000002</v>
      </c>
      <c r="F198">
        <v>52491.63</v>
      </c>
      <c r="G198">
        <v>0.2359214</v>
      </c>
      <c r="H198">
        <v>3.8558330000000001</v>
      </c>
      <c r="I198">
        <v>12</v>
      </c>
      <c r="J198" s="1">
        <v>25656369.040696241</v>
      </c>
      <c r="K198" s="1">
        <v>2138030.7533913534</v>
      </c>
      <c r="L198">
        <v>0</v>
      </c>
      <c r="M198">
        <v>1</v>
      </c>
      <c r="N198">
        <v>0</v>
      </c>
      <c r="P198" s="9"/>
    </row>
    <row r="199" spans="1:16" x14ac:dyDescent="0.3">
      <c r="A199">
        <v>54210</v>
      </c>
      <c r="B199" t="s">
        <v>205</v>
      </c>
      <c r="C199">
        <v>1.6161669999999999</v>
      </c>
      <c r="D199">
        <v>228474.5</v>
      </c>
      <c r="E199">
        <v>25.497199999999999</v>
      </c>
      <c r="F199">
        <v>13030.09</v>
      </c>
      <c r="G199">
        <v>9.9342100000000003E-2</v>
      </c>
      <c r="H199">
        <v>2.8033329999999999</v>
      </c>
      <c r="I199">
        <v>13.3</v>
      </c>
      <c r="J199" s="1">
        <v>25437473.084219109</v>
      </c>
      <c r="K199" s="1">
        <v>1912591.9612194819</v>
      </c>
      <c r="L199">
        <v>0</v>
      </c>
      <c r="M199">
        <v>1</v>
      </c>
      <c r="N199">
        <v>0</v>
      </c>
      <c r="P199" s="9"/>
    </row>
    <row r="200" spans="1:16" x14ac:dyDescent="0.3">
      <c r="A200">
        <v>54318</v>
      </c>
      <c r="B200" t="s">
        <v>206</v>
      </c>
      <c r="C200">
        <v>1.6679999999999999</v>
      </c>
      <c r="D200">
        <v>717296.3</v>
      </c>
      <c r="E200">
        <v>24.022069999999999</v>
      </c>
      <c r="F200">
        <v>60936.45</v>
      </c>
      <c r="G200">
        <v>6.9168400000000005E-2</v>
      </c>
      <c r="H200">
        <v>6.55</v>
      </c>
      <c r="I200">
        <v>30</v>
      </c>
      <c r="J200" s="1">
        <v>56231772.313743956</v>
      </c>
      <c r="K200" s="1">
        <v>1874392.4104581319</v>
      </c>
      <c r="L200">
        <v>0</v>
      </c>
      <c r="M200">
        <v>1</v>
      </c>
      <c r="N200">
        <v>0</v>
      </c>
      <c r="P200" s="9"/>
    </row>
    <row r="201" spans="1:16" x14ac:dyDescent="0.3">
      <c r="A201">
        <v>54634</v>
      </c>
      <c r="B201" t="s">
        <v>207</v>
      </c>
      <c r="C201">
        <v>3.278</v>
      </c>
      <c r="D201">
        <v>831330.4</v>
      </c>
      <c r="E201">
        <v>30.118929999999999</v>
      </c>
      <c r="F201">
        <v>180158.7</v>
      </c>
      <c r="G201">
        <v>0.22236690000000001</v>
      </c>
      <c r="H201">
        <v>2.1033330000000001</v>
      </c>
      <c r="I201">
        <v>99.2</v>
      </c>
      <c r="J201" s="1">
        <v>64619457.603591017</v>
      </c>
      <c r="K201" s="1">
        <v>651405.8226168449</v>
      </c>
      <c r="L201">
        <v>1</v>
      </c>
      <c r="M201">
        <v>0</v>
      </c>
      <c r="N201">
        <v>0</v>
      </c>
      <c r="P201" s="9"/>
    </row>
    <row r="202" spans="1:16" x14ac:dyDescent="0.3">
      <c r="A202">
        <v>55076</v>
      </c>
      <c r="B202" t="s">
        <v>208</v>
      </c>
      <c r="C202">
        <v>3.012203</v>
      </c>
      <c r="D202">
        <v>2500898</v>
      </c>
      <c r="E202">
        <v>27.850560000000002</v>
      </c>
      <c r="F202">
        <v>751171.1</v>
      </c>
      <c r="G202">
        <v>0.3019599</v>
      </c>
      <c r="H202">
        <v>2.7566670000000002</v>
      </c>
      <c r="I202">
        <v>513.70000000000005</v>
      </c>
      <c r="J202" s="1">
        <v>196795827.60138991</v>
      </c>
      <c r="K202" s="1">
        <v>383094.85614442261</v>
      </c>
      <c r="L202">
        <v>1</v>
      </c>
      <c r="M202">
        <v>0</v>
      </c>
      <c r="N202">
        <v>0</v>
      </c>
      <c r="P202" s="9"/>
    </row>
    <row r="203" spans="1:16" x14ac:dyDescent="0.3">
      <c r="A203">
        <v>55479</v>
      </c>
      <c r="B203" t="s">
        <v>209</v>
      </c>
      <c r="C203">
        <v>1.6679999999999999</v>
      </c>
      <c r="D203">
        <v>655094.4</v>
      </c>
      <c r="E203">
        <v>24.022069999999999</v>
      </c>
      <c r="F203">
        <v>184928.9</v>
      </c>
      <c r="G203">
        <v>0.28795739999999997</v>
      </c>
      <c r="H203">
        <v>6.55</v>
      </c>
      <c r="I203">
        <v>90</v>
      </c>
      <c r="J203" s="1">
        <v>37545917.47944665</v>
      </c>
      <c r="K203" s="1">
        <v>417176.86088274053</v>
      </c>
      <c r="L203">
        <v>0</v>
      </c>
      <c r="M203">
        <v>0</v>
      </c>
      <c r="N203">
        <v>1</v>
      </c>
      <c r="P203" s="9"/>
    </row>
    <row r="204" spans="1:16" x14ac:dyDescent="0.3">
      <c r="A204">
        <v>55749</v>
      </c>
      <c r="B204" t="s">
        <v>210</v>
      </c>
      <c r="C204">
        <v>2.087631</v>
      </c>
      <c r="D204">
        <v>284146</v>
      </c>
      <c r="E204">
        <v>27.20824</v>
      </c>
      <c r="F204">
        <v>74600.08</v>
      </c>
      <c r="G204">
        <v>0.27679680000000001</v>
      </c>
      <c r="H204">
        <v>2.2374999999999998</v>
      </c>
      <c r="I204">
        <v>115.7</v>
      </c>
      <c r="J204" s="1">
        <v>38276204.490449972</v>
      </c>
      <c r="K204" s="1">
        <v>330822.85644295567</v>
      </c>
      <c r="L204">
        <v>0</v>
      </c>
      <c r="M204">
        <v>1</v>
      </c>
      <c r="N204">
        <v>0</v>
      </c>
      <c r="O204" s="1">
        <v>3114166</v>
      </c>
      <c r="P204" s="9" t="s">
        <v>457</v>
      </c>
    </row>
    <row r="205" spans="1:16" x14ac:dyDescent="0.3">
      <c r="A205">
        <v>55856</v>
      </c>
      <c r="B205" t="s">
        <v>211</v>
      </c>
      <c r="C205">
        <v>1.8321670000000001</v>
      </c>
      <c r="D205">
        <v>9332870</v>
      </c>
      <c r="E205">
        <v>29.876660000000001</v>
      </c>
      <c r="F205">
        <v>3365836</v>
      </c>
      <c r="G205">
        <v>0.36145840000000001</v>
      </c>
      <c r="H205">
        <v>2.8308330000000002</v>
      </c>
      <c r="I205">
        <v>1766</v>
      </c>
      <c r="J205" s="1">
        <v>216987889.6467385</v>
      </c>
      <c r="K205" s="1">
        <v>122869.6996867149</v>
      </c>
      <c r="L205">
        <v>1</v>
      </c>
      <c r="M205">
        <v>0</v>
      </c>
      <c r="N205">
        <v>0</v>
      </c>
      <c r="P205" s="9"/>
    </row>
    <row r="206" spans="1:16" x14ac:dyDescent="0.3">
      <c r="A206">
        <v>56068</v>
      </c>
      <c r="B206" t="s">
        <v>212</v>
      </c>
      <c r="C206">
        <v>2.08134</v>
      </c>
      <c r="D206">
        <v>5769378</v>
      </c>
      <c r="E206">
        <v>32.221710000000002</v>
      </c>
      <c r="F206">
        <v>2097981</v>
      </c>
      <c r="G206">
        <v>0.36596820000000002</v>
      </c>
      <c r="H206">
        <v>3.8558330000000001</v>
      </c>
      <c r="I206">
        <v>1402.6</v>
      </c>
      <c r="J206" s="1">
        <v>224583535.22777671</v>
      </c>
      <c r="K206" s="1">
        <v>160119.44619119971</v>
      </c>
      <c r="L206">
        <v>1</v>
      </c>
      <c r="M206">
        <v>0</v>
      </c>
      <c r="N206">
        <v>0</v>
      </c>
      <c r="O206" s="1">
        <v>5458683</v>
      </c>
      <c r="P206" s="9" t="s">
        <v>459</v>
      </c>
    </row>
    <row r="207" spans="1:16" x14ac:dyDescent="0.3">
      <c r="A207">
        <v>56224</v>
      </c>
      <c r="B207" t="s">
        <v>213</v>
      </c>
      <c r="C207">
        <v>2.7893750000000002</v>
      </c>
      <c r="D207">
        <v>961654.8</v>
      </c>
      <c r="E207">
        <v>26.217659999999999</v>
      </c>
      <c r="F207">
        <v>321668</v>
      </c>
      <c r="G207">
        <v>0.34047280000000002</v>
      </c>
      <c r="H207">
        <v>7.1808329999999998</v>
      </c>
      <c r="I207">
        <v>242</v>
      </c>
      <c r="J207" s="1">
        <v>42943787.908921979</v>
      </c>
      <c r="K207" s="1">
        <v>177453.66904513215</v>
      </c>
      <c r="L207">
        <v>0</v>
      </c>
      <c r="M207">
        <v>1</v>
      </c>
      <c r="N207">
        <v>0</v>
      </c>
      <c r="O207" s="1">
        <v>4210858</v>
      </c>
      <c r="P207" s="9" t="s">
        <v>460</v>
      </c>
    </row>
    <row r="208" spans="1:16" x14ac:dyDescent="0.3">
      <c r="A208">
        <v>56319</v>
      </c>
      <c r="B208" t="s">
        <v>214</v>
      </c>
      <c r="C208">
        <v>0.92125000000000001</v>
      </c>
      <c r="D208">
        <v>717894.8</v>
      </c>
      <c r="E208">
        <v>24.022069999999999</v>
      </c>
      <c r="F208">
        <v>203960.9</v>
      </c>
      <c r="G208">
        <v>0.28553050000000002</v>
      </c>
      <c r="H208">
        <v>6.55</v>
      </c>
      <c r="I208">
        <v>95</v>
      </c>
      <c r="J208" s="1">
        <v>35412899.142756067</v>
      </c>
      <c r="K208" s="1">
        <v>372767.3593974323</v>
      </c>
      <c r="L208">
        <v>0</v>
      </c>
      <c r="M208">
        <v>0</v>
      </c>
      <c r="N208">
        <v>1</v>
      </c>
      <c r="P208" s="9"/>
    </row>
    <row r="209" spans="1:16" x14ac:dyDescent="0.3">
      <c r="A209">
        <v>56456</v>
      </c>
      <c r="B209" t="s">
        <v>215</v>
      </c>
      <c r="C209">
        <v>2.0453329999999998</v>
      </c>
      <c r="D209">
        <v>3386291</v>
      </c>
      <c r="E209">
        <v>25.297910000000002</v>
      </c>
      <c r="F209">
        <v>1182017</v>
      </c>
      <c r="G209">
        <v>0.34890929999999998</v>
      </c>
      <c r="H209">
        <v>2.6941670000000002</v>
      </c>
      <c r="I209">
        <v>720</v>
      </c>
      <c r="J209" s="1">
        <v>197070663.30410379</v>
      </c>
      <c r="K209" s="1">
        <v>273709.25458903302</v>
      </c>
      <c r="L209">
        <v>1</v>
      </c>
      <c r="M209">
        <v>0</v>
      </c>
      <c r="N209">
        <v>0</v>
      </c>
      <c r="P209" s="9"/>
    </row>
    <row r="210" spans="1:16" x14ac:dyDescent="0.3">
      <c r="A210">
        <v>56564</v>
      </c>
      <c r="B210" t="s">
        <v>216</v>
      </c>
      <c r="C210">
        <v>2.091939</v>
      </c>
      <c r="D210">
        <v>2861793</v>
      </c>
      <c r="E210">
        <v>25.297910000000002</v>
      </c>
      <c r="F210">
        <v>1070526</v>
      </c>
      <c r="G210">
        <v>0.37743959999999999</v>
      </c>
      <c r="H210">
        <v>2.6941670000000002</v>
      </c>
      <c r="I210">
        <v>609</v>
      </c>
      <c r="J210" s="1">
        <v>217973044.69198841</v>
      </c>
      <c r="K210" s="1">
        <v>357919.61361574451</v>
      </c>
      <c r="L210">
        <v>0</v>
      </c>
      <c r="M210">
        <v>1</v>
      </c>
      <c r="N210">
        <v>0</v>
      </c>
      <c r="P210" s="9"/>
    </row>
    <row r="211" spans="1:16" x14ac:dyDescent="0.3">
      <c r="A211">
        <v>56596</v>
      </c>
      <c r="B211" t="s">
        <v>217</v>
      </c>
      <c r="C211">
        <v>0.92105000000000004</v>
      </c>
      <c r="D211">
        <v>781188.7</v>
      </c>
      <c r="E211">
        <v>24.022069999999999</v>
      </c>
      <c r="F211">
        <v>232839</v>
      </c>
      <c r="G211">
        <v>0.29857129999999998</v>
      </c>
      <c r="H211">
        <v>6.55</v>
      </c>
      <c r="I211">
        <v>116</v>
      </c>
      <c r="J211" s="1">
        <v>35408115.243102811</v>
      </c>
      <c r="K211" s="1">
        <v>305242.37278536905</v>
      </c>
      <c r="L211">
        <v>0</v>
      </c>
      <c r="M211">
        <v>0</v>
      </c>
      <c r="N211">
        <v>1</v>
      </c>
      <c r="O211" s="1">
        <v>543578</v>
      </c>
      <c r="P211" s="9" t="s">
        <v>457</v>
      </c>
    </row>
    <row r="212" spans="1:16" x14ac:dyDescent="0.3">
      <c r="A212">
        <v>56609</v>
      </c>
      <c r="B212" t="s">
        <v>218</v>
      </c>
      <c r="C212">
        <v>0.79372880000000001</v>
      </c>
      <c r="D212">
        <v>2564279</v>
      </c>
      <c r="E212">
        <v>24.022069999999999</v>
      </c>
      <c r="F212">
        <v>818151.9</v>
      </c>
      <c r="G212">
        <v>0.32238450000000002</v>
      </c>
      <c r="H212">
        <v>6.55</v>
      </c>
      <c r="I212">
        <v>483.7</v>
      </c>
      <c r="J212" s="1">
        <v>198221216.5625113</v>
      </c>
      <c r="K212" s="1">
        <v>409801.97759460675</v>
      </c>
      <c r="L212">
        <v>0</v>
      </c>
      <c r="M212">
        <v>0</v>
      </c>
      <c r="N212">
        <v>1</v>
      </c>
      <c r="P212" s="9"/>
    </row>
    <row r="213" spans="1:16" x14ac:dyDescent="0.3">
      <c r="A213">
        <v>56611</v>
      </c>
      <c r="B213" t="s">
        <v>219</v>
      </c>
      <c r="C213">
        <v>2.102833</v>
      </c>
      <c r="D213">
        <v>4022200</v>
      </c>
      <c r="E213">
        <v>26.15709</v>
      </c>
      <c r="F213">
        <v>1441638</v>
      </c>
      <c r="G213">
        <v>0.36335610000000002</v>
      </c>
      <c r="H213">
        <v>2.7158329999999999</v>
      </c>
      <c r="I213">
        <v>1008</v>
      </c>
      <c r="J213" s="1">
        <v>241548311.53053179</v>
      </c>
      <c r="K213" s="1">
        <v>239631.26143901964</v>
      </c>
      <c r="L213">
        <v>0</v>
      </c>
      <c r="M213">
        <v>1</v>
      </c>
      <c r="N213">
        <v>0</v>
      </c>
      <c r="P213" s="9"/>
    </row>
    <row r="214" spans="1:16" x14ac:dyDescent="0.3">
      <c r="A214">
        <v>56671</v>
      </c>
      <c r="B214" t="s">
        <v>220</v>
      </c>
      <c r="C214">
        <v>2.1786669999999999</v>
      </c>
      <c r="D214">
        <v>3755450</v>
      </c>
      <c r="E214">
        <v>26.133649999999999</v>
      </c>
      <c r="F214">
        <v>1452992</v>
      </c>
      <c r="G214">
        <v>0.38709199999999999</v>
      </c>
      <c r="H214">
        <v>3.4075000000000002</v>
      </c>
      <c r="I214">
        <v>807.5</v>
      </c>
      <c r="J214" s="1">
        <v>209890006.84973419</v>
      </c>
      <c r="K214" s="1">
        <v>259925.70507707019</v>
      </c>
      <c r="L214">
        <v>0</v>
      </c>
      <c r="M214">
        <v>1</v>
      </c>
      <c r="N214">
        <v>0</v>
      </c>
      <c r="P214" s="9"/>
    </row>
    <row r="215" spans="1:16" x14ac:dyDescent="0.3">
      <c r="A215">
        <v>56786</v>
      </c>
      <c r="B215" t="s">
        <v>221</v>
      </c>
      <c r="C215">
        <v>2.4990000000000001</v>
      </c>
      <c r="D215">
        <v>260031.2</v>
      </c>
      <c r="E215">
        <v>25.497199999999999</v>
      </c>
      <c r="F215">
        <v>53963.23</v>
      </c>
      <c r="G215">
        <v>0.18168100000000001</v>
      </c>
      <c r="H215">
        <v>2.8033329999999999</v>
      </c>
      <c r="I215">
        <v>106.2</v>
      </c>
      <c r="J215" s="1">
        <v>29146201.858693011</v>
      </c>
      <c r="K215" s="1">
        <v>274446.34518543322</v>
      </c>
      <c r="L215">
        <v>0</v>
      </c>
      <c r="M215">
        <v>1</v>
      </c>
      <c r="N215">
        <v>0</v>
      </c>
      <c r="P215" s="9"/>
    </row>
    <row r="216" spans="1:16" x14ac:dyDescent="0.3">
      <c r="A216">
        <v>56808</v>
      </c>
      <c r="B216" t="s">
        <v>222</v>
      </c>
      <c r="C216">
        <v>2.4502630000000001</v>
      </c>
      <c r="D216">
        <v>1166042</v>
      </c>
      <c r="E216">
        <v>28.113340000000001</v>
      </c>
      <c r="F216">
        <v>416838.7</v>
      </c>
      <c r="G216">
        <v>0.38220159999999997</v>
      </c>
      <c r="H216">
        <v>3.8466670000000001</v>
      </c>
      <c r="I216">
        <v>668</v>
      </c>
      <c r="J216" s="1">
        <v>51090836.673125997</v>
      </c>
      <c r="K216" s="1">
        <v>76483.288432823349</v>
      </c>
      <c r="L216">
        <v>1</v>
      </c>
      <c r="M216">
        <v>0</v>
      </c>
      <c r="N216">
        <v>0</v>
      </c>
      <c r="P216" s="9"/>
    </row>
    <row r="217" spans="1:16" x14ac:dyDescent="0.3">
      <c r="A217">
        <v>57046</v>
      </c>
      <c r="B217" t="s">
        <v>223</v>
      </c>
      <c r="C217">
        <v>1.2396670000000001</v>
      </c>
      <c r="D217">
        <v>802803.5</v>
      </c>
      <c r="E217">
        <v>26.168330000000001</v>
      </c>
      <c r="F217">
        <v>77094.990000000005</v>
      </c>
      <c r="G217">
        <v>0.1030286</v>
      </c>
      <c r="H217">
        <v>3.6541670000000002</v>
      </c>
      <c r="I217">
        <v>71.400000000000006</v>
      </c>
      <c r="J217" s="1">
        <v>41382434.001510806</v>
      </c>
      <c r="K217" s="1">
        <v>579585.91038530541</v>
      </c>
      <c r="L217">
        <v>1</v>
      </c>
      <c r="M217">
        <v>0</v>
      </c>
      <c r="N217">
        <v>0</v>
      </c>
      <c r="P217" s="9"/>
    </row>
    <row r="218" spans="1:16" x14ac:dyDescent="0.3">
      <c r="A218">
        <v>57914</v>
      </c>
      <c r="B218" t="s">
        <v>224</v>
      </c>
      <c r="C218">
        <v>2.087631</v>
      </c>
      <c r="D218">
        <v>53805.04</v>
      </c>
      <c r="E218">
        <v>27.20824</v>
      </c>
      <c r="F218">
        <v>2196.3609999999999</v>
      </c>
      <c r="G218">
        <v>4.2349600000000001E-2</v>
      </c>
      <c r="H218">
        <v>2.2374999999999998</v>
      </c>
      <c r="I218">
        <v>4</v>
      </c>
      <c r="J218" s="1">
        <v>3987550.9873580518</v>
      </c>
      <c r="K218" s="1">
        <v>996887.74683951295</v>
      </c>
      <c r="L218">
        <v>1</v>
      </c>
      <c r="M218">
        <v>0</v>
      </c>
      <c r="N218">
        <v>0</v>
      </c>
      <c r="P218" s="9"/>
    </row>
    <row r="219" spans="1:16" x14ac:dyDescent="0.3">
      <c r="A219">
        <v>57915</v>
      </c>
      <c r="B219" t="s">
        <v>225</v>
      </c>
      <c r="C219">
        <v>1.6679999999999999</v>
      </c>
      <c r="D219">
        <v>2990147</v>
      </c>
      <c r="E219">
        <v>24.022069999999999</v>
      </c>
      <c r="F219">
        <v>75599.63</v>
      </c>
      <c r="G219">
        <v>2.0484800000000001E-2</v>
      </c>
      <c r="H219">
        <v>6.55</v>
      </c>
      <c r="I219">
        <v>41</v>
      </c>
      <c r="J219" s="1">
        <v>272883986.40410519</v>
      </c>
      <c r="K219" s="1">
        <v>6655706.9854659801</v>
      </c>
      <c r="L219">
        <v>0</v>
      </c>
      <c r="M219">
        <v>1</v>
      </c>
      <c r="N219">
        <v>0</v>
      </c>
      <c r="P219" s="9"/>
    </row>
    <row r="220" spans="1:16" x14ac:dyDescent="0.3">
      <c r="P220" s="9"/>
    </row>
    <row r="221" spans="1:16" x14ac:dyDescent="0.3">
      <c r="P221" s="8"/>
    </row>
    <row r="222" spans="1:16" x14ac:dyDescent="0.3">
      <c r="P222" s="8"/>
    </row>
    <row r="223" spans="1:16" x14ac:dyDescent="0.3">
      <c r="P223" s="8"/>
    </row>
    <row r="224" spans="1:16" x14ac:dyDescent="0.3">
      <c r="P224" s="8"/>
    </row>
    <row r="225" spans="16:16" x14ac:dyDescent="0.3">
      <c r="P225" s="8"/>
    </row>
    <row r="226" spans="16:16" x14ac:dyDescent="0.3">
      <c r="P226" s="8"/>
    </row>
    <row r="227" spans="16:16" x14ac:dyDescent="0.3">
      <c r="P227" s="8"/>
    </row>
    <row r="228" spans="16:16" x14ac:dyDescent="0.3">
      <c r="P228" s="8"/>
    </row>
    <row r="229" spans="16:16" x14ac:dyDescent="0.3">
      <c r="P22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8542-A137-4984-AF04-E889A5AB41C2}">
  <dimension ref="A1:L78"/>
  <sheetViews>
    <sheetView workbookViewId="0">
      <selection activeCell="G15" sqref="G15"/>
    </sheetView>
  </sheetViews>
  <sheetFormatPr defaultRowHeight="14.4" x14ac:dyDescent="0.3"/>
  <cols>
    <col min="4" max="4" width="17.6640625" bestFit="1" customWidth="1"/>
    <col min="5" max="5" width="11.109375" bestFit="1" customWidth="1"/>
    <col min="6" max="6" width="21.88671875" bestFit="1" customWidth="1"/>
    <col min="7" max="7" width="23.88671875" bestFit="1" customWidth="1"/>
    <col min="8" max="8" width="16" bestFit="1" customWidth="1"/>
    <col min="9" max="9" width="22.33203125" bestFit="1" customWidth="1"/>
    <col min="11" max="11" width="16.33203125" bestFit="1" customWidth="1"/>
    <col min="12" max="12" width="19" bestFit="1" customWidth="1"/>
  </cols>
  <sheetData>
    <row r="1" spans="1:12" x14ac:dyDescent="0.3">
      <c r="A1" t="s">
        <v>0</v>
      </c>
      <c r="B1" t="s">
        <v>1</v>
      </c>
      <c r="C1" t="s">
        <v>306</v>
      </c>
      <c r="D1" t="s">
        <v>6</v>
      </c>
      <c r="E1" t="s">
        <v>466</v>
      </c>
      <c r="F1" t="s">
        <v>5</v>
      </c>
      <c r="G1" t="s">
        <v>465</v>
      </c>
      <c r="H1" t="s">
        <v>4</v>
      </c>
      <c r="I1" t="s">
        <v>464</v>
      </c>
      <c r="J1" t="s">
        <v>467</v>
      </c>
      <c r="K1" t="s">
        <v>2</v>
      </c>
      <c r="L1" t="s">
        <v>3</v>
      </c>
    </row>
    <row r="2" spans="1:12" x14ac:dyDescent="0.3">
      <c r="A2">
        <v>7</v>
      </c>
      <c r="B2" t="s">
        <v>230</v>
      </c>
      <c r="C2">
        <v>2015</v>
      </c>
      <c r="D2">
        <v>3.8429169999999999</v>
      </c>
      <c r="E2">
        <v>103104.9</v>
      </c>
      <c r="F2">
        <v>26.795500000000001</v>
      </c>
      <c r="G2">
        <v>60603.32</v>
      </c>
      <c r="H2">
        <v>0.3099678532339411</v>
      </c>
      <c r="I2">
        <v>3.267417</v>
      </c>
      <c r="J2">
        <v>138</v>
      </c>
      <c r="K2" s="1">
        <f xml:space="preserve"> 1.31297*10^7</f>
        <v>13129700</v>
      </c>
      <c r="L2" s="1">
        <f>K2/J2</f>
        <v>95142.753623188401</v>
      </c>
    </row>
    <row r="3" spans="1:12" x14ac:dyDescent="0.3">
      <c r="A3">
        <v>10</v>
      </c>
      <c r="B3" t="s">
        <v>231</v>
      </c>
      <c r="C3">
        <v>2016</v>
      </c>
      <c r="D3">
        <v>3.5769549999999999</v>
      </c>
      <c r="E3">
        <v>1665977</v>
      </c>
      <c r="F3">
        <v>27.07441</v>
      </c>
      <c r="G3">
        <v>602554</v>
      </c>
      <c r="H3">
        <v>0.34671099999999999</v>
      </c>
      <c r="I3">
        <v>3.2884169999999999</v>
      </c>
      <c r="J3">
        <v>568.4</v>
      </c>
      <c r="K3" s="1">
        <f xml:space="preserve"> 1.71141*10^8</f>
        <v>171141000</v>
      </c>
      <c r="L3" s="1">
        <f t="shared" ref="L3:L66" si="0">K3/J3</f>
        <v>301092.54046446166</v>
      </c>
    </row>
    <row r="4" spans="1:12" x14ac:dyDescent="0.3">
      <c r="A4">
        <v>26</v>
      </c>
      <c r="B4" t="s">
        <v>232</v>
      </c>
      <c r="C4">
        <v>2017</v>
      </c>
      <c r="D4">
        <v>5.0110229999999998</v>
      </c>
      <c r="E4">
        <v>4610225</v>
      </c>
      <c r="F4">
        <v>27.466139999999999</v>
      </c>
      <c r="G4">
        <v>1661627</v>
      </c>
      <c r="H4">
        <v>0.35142709999999999</v>
      </c>
      <c r="I4">
        <v>3.7494170000000002</v>
      </c>
      <c r="J4">
        <v>952</v>
      </c>
      <c r="K4" s="1">
        <f xml:space="preserve"> 3.51845*10^8</f>
        <v>351845000</v>
      </c>
      <c r="L4" s="1">
        <f t="shared" si="0"/>
        <v>369585.08403361344</v>
      </c>
    </row>
    <row r="5" spans="1:12" x14ac:dyDescent="0.3">
      <c r="A5">
        <v>126</v>
      </c>
      <c r="B5" t="s">
        <v>233</v>
      </c>
      <c r="C5">
        <v>2016</v>
      </c>
      <c r="D5">
        <v>3.9122080000000001</v>
      </c>
      <c r="E5">
        <v>168043.1</v>
      </c>
      <c r="F5">
        <v>29.361830000000001</v>
      </c>
      <c r="G5">
        <v>138977.5</v>
      </c>
      <c r="H5">
        <v>0.52948470000000003</v>
      </c>
      <c r="I5">
        <v>3.7251129999999999</v>
      </c>
      <c r="J5">
        <v>173.3</v>
      </c>
      <c r="K5" s="1">
        <f xml:space="preserve"> 5.47551*10^6</f>
        <v>5475510</v>
      </c>
      <c r="L5" s="1">
        <f t="shared" si="0"/>
        <v>31595.55683785343</v>
      </c>
    </row>
    <row r="6" spans="1:12" x14ac:dyDescent="0.3">
      <c r="A6">
        <v>384</v>
      </c>
      <c r="B6" t="s">
        <v>234</v>
      </c>
      <c r="C6">
        <v>2018</v>
      </c>
      <c r="D6">
        <v>1.9586669999999999</v>
      </c>
      <c r="E6">
        <v>2082484</v>
      </c>
      <c r="F6">
        <v>27.670809999999999</v>
      </c>
      <c r="G6">
        <v>743786.9</v>
      </c>
      <c r="H6">
        <v>0.32447340000000002</v>
      </c>
      <c r="I6">
        <v>3.3424999999999998</v>
      </c>
      <c r="J6">
        <v>1320</v>
      </c>
      <c r="K6" s="1">
        <f xml:space="preserve"> 1.86687*10^8</f>
        <v>186687000</v>
      </c>
      <c r="L6" s="1">
        <f t="shared" si="0"/>
        <v>141429.54545454544</v>
      </c>
    </row>
    <row r="7" spans="1:12" x14ac:dyDescent="0.3">
      <c r="A7">
        <v>469</v>
      </c>
      <c r="B7" t="s">
        <v>235</v>
      </c>
      <c r="C7">
        <v>2017</v>
      </c>
      <c r="D7">
        <v>2.7047970000000001</v>
      </c>
      <c r="E7">
        <v>1976788</v>
      </c>
      <c r="F7">
        <v>29.05997</v>
      </c>
      <c r="G7">
        <v>650369.9</v>
      </c>
      <c r="H7">
        <v>0.32282709999999998</v>
      </c>
      <c r="I7">
        <v>3.7296670000000001</v>
      </c>
      <c r="J7">
        <v>380.8</v>
      </c>
      <c r="K7" s="1">
        <f xml:space="preserve"> 1.39391*10^8</f>
        <v>139391000</v>
      </c>
      <c r="L7" s="1">
        <f t="shared" si="0"/>
        <v>366047.79411764705</v>
      </c>
    </row>
    <row r="8" spans="1:12" x14ac:dyDescent="0.3">
      <c r="A8">
        <v>492</v>
      </c>
      <c r="B8" t="s">
        <v>236</v>
      </c>
      <c r="C8">
        <v>2021</v>
      </c>
      <c r="D8">
        <v>1.5313490000000001</v>
      </c>
      <c r="E8">
        <v>654867.30000000005</v>
      </c>
      <c r="F8">
        <v>30.016349999999999</v>
      </c>
      <c r="G8">
        <v>215698.7</v>
      </c>
      <c r="H8">
        <v>0.3093591</v>
      </c>
      <c r="I8">
        <v>6.8133749999999997</v>
      </c>
      <c r="J8">
        <v>75</v>
      </c>
      <c r="K8" s="1">
        <f xml:space="preserve"> 3.1953*10^7</f>
        <v>31953000</v>
      </c>
      <c r="L8" s="1">
        <f t="shared" si="0"/>
        <v>426040</v>
      </c>
    </row>
    <row r="9" spans="1:12" x14ac:dyDescent="0.3">
      <c r="A9">
        <v>663</v>
      </c>
      <c r="B9" t="s">
        <v>237</v>
      </c>
      <c r="C9">
        <v>2021</v>
      </c>
      <c r="D9">
        <v>4.6423040000000002</v>
      </c>
      <c r="E9">
        <v>392638.3</v>
      </c>
      <c r="F9">
        <v>30.414929999999998</v>
      </c>
      <c r="G9">
        <v>156987.20000000001</v>
      </c>
      <c r="H9">
        <v>0.32985540000000002</v>
      </c>
      <c r="I9">
        <v>7.8135450000000004</v>
      </c>
      <c r="J9">
        <v>250.7</v>
      </c>
      <c r="K9" s="1">
        <f xml:space="preserve"> 3.64778*10^7</f>
        <v>36477800</v>
      </c>
      <c r="L9" s="1">
        <f t="shared" si="0"/>
        <v>145503.78938970884</v>
      </c>
    </row>
    <row r="10" spans="1:12" x14ac:dyDescent="0.3">
      <c r="A10">
        <v>753</v>
      </c>
      <c r="B10" t="s">
        <v>238</v>
      </c>
      <c r="C10">
        <v>2018</v>
      </c>
      <c r="D10">
        <v>2.868833</v>
      </c>
      <c r="E10">
        <v>1301.1400000000001</v>
      </c>
      <c r="F10">
        <v>28.346340000000001</v>
      </c>
      <c r="G10">
        <v>266.64780000000002</v>
      </c>
      <c r="H10">
        <v>0.1900298</v>
      </c>
      <c r="I10">
        <v>2.9066670000000001</v>
      </c>
      <c r="J10">
        <v>12.5</v>
      </c>
      <c r="K10" s="1">
        <f>163126</f>
        <v>163126</v>
      </c>
      <c r="L10" s="1">
        <f t="shared" si="0"/>
        <v>13050.08</v>
      </c>
    </row>
    <row r="11" spans="1:12" x14ac:dyDescent="0.3">
      <c r="A11">
        <v>874</v>
      </c>
      <c r="B11" t="s">
        <v>239</v>
      </c>
      <c r="C11">
        <v>2018</v>
      </c>
      <c r="D11">
        <v>1.9586669999999999</v>
      </c>
      <c r="E11">
        <v>474529.1</v>
      </c>
      <c r="F11">
        <v>27.670809999999999</v>
      </c>
      <c r="G11">
        <v>146995</v>
      </c>
      <c r="H11">
        <v>0.30641360000000001</v>
      </c>
      <c r="I11">
        <v>3.3424999999999998</v>
      </c>
      <c r="J11">
        <v>360.4</v>
      </c>
      <c r="K11" s="1">
        <f xml:space="preserve"> 4.36768*10^7</f>
        <v>43676800</v>
      </c>
      <c r="L11" s="1">
        <f t="shared" si="0"/>
        <v>121189.78912319646</v>
      </c>
    </row>
    <row r="12" spans="1:12" x14ac:dyDescent="0.3">
      <c r="A12">
        <v>990</v>
      </c>
      <c r="B12" t="s">
        <v>240</v>
      </c>
      <c r="C12">
        <v>2016</v>
      </c>
      <c r="D12">
        <v>2.175014</v>
      </c>
      <c r="E12">
        <v>2551968</v>
      </c>
      <c r="F12">
        <v>25.955359999999999</v>
      </c>
      <c r="G12">
        <v>924903.8</v>
      </c>
      <c r="H12">
        <v>0.33703270000000002</v>
      </c>
      <c r="I12">
        <v>4.2420840000000002</v>
      </c>
      <c r="J12">
        <v>663</v>
      </c>
      <c r="K12" s="1">
        <f xml:space="preserve"> 2.08936*10^8</f>
        <v>208936000</v>
      </c>
      <c r="L12" s="1">
        <f t="shared" si="0"/>
        <v>315137.25490196078</v>
      </c>
    </row>
    <row r="13" spans="1:12" x14ac:dyDescent="0.3">
      <c r="A13">
        <v>992</v>
      </c>
      <c r="B13" t="s">
        <v>241</v>
      </c>
      <c r="C13">
        <v>2014</v>
      </c>
      <c r="D13">
        <v>2.4551669999999999</v>
      </c>
      <c r="E13">
        <v>632772.1</v>
      </c>
      <c r="F13">
        <v>24.465579999999999</v>
      </c>
      <c r="G13">
        <v>2702.7979999999998</v>
      </c>
      <c r="H13">
        <v>4.6208000000000004E-3</v>
      </c>
      <c r="I13">
        <v>2.931667</v>
      </c>
      <c r="J13">
        <v>23.4</v>
      </c>
      <c r="K13" s="1">
        <f xml:space="preserve"> 8.81527*10^7</f>
        <v>88152700</v>
      </c>
      <c r="L13" s="1">
        <f t="shared" si="0"/>
        <v>3767209.401709402</v>
      </c>
    </row>
    <row r="14" spans="1:12" x14ac:dyDescent="0.3">
      <c r="A14">
        <v>1048</v>
      </c>
      <c r="B14" t="s">
        <v>242</v>
      </c>
      <c r="C14">
        <v>2016</v>
      </c>
      <c r="D14">
        <v>1.727954</v>
      </c>
      <c r="E14">
        <v>541758.30000000005</v>
      </c>
      <c r="F14">
        <v>23.844270000000002</v>
      </c>
      <c r="G14">
        <v>133865.5</v>
      </c>
      <c r="H14">
        <v>0.3031568</v>
      </c>
      <c r="I14">
        <v>3.9359999999999999</v>
      </c>
      <c r="J14">
        <v>218.5</v>
      </c>
      <c r="K14" s="1">
        <f xml:space="preserve"> 5.50736*10^7</f>
        <v>55073600</v>
      </c>
      <c r="L14" s="1">
        <f t="shared" si="0"/>
        <v>252053.08924485126</v>
      </c>
    </row>
    <row r="15" spans="1:12" x14ac:dyDescent="0.3">
      <c r="A15">
        <v>1081</v>
      </c>
      <c r="B15" t="s">
        <v>243</v>
      </c>
      <c r="C15">
        <v>2015</v>
      </c>
      <c r="D15">
        <v>1.7394829999999999</v>
      </c>
      <c r="E15">
        <v>565964.30000000005</v>
      </c>
      <c r="F15">
        <v>23.279129999999999</v>
      </c>
      <c r="G15">
        <v>169427.5</v>
      </c>
      <c r="H15">
        <v>0.28215000000000001</v>
      </c>
      <c r="I15">
        <v>2.6575000000000002</v>
      </c>
      <c r="J15">
        <v>136</v>
      </c>
      <c r="K15" s="1">
        <f xml:space="preserve"> 5.49389*10^7</f>
        <v>54938900.000000007</v>
      </c>
      <c r="L15" s="1">
        <f t="shared" si="0"/>
        <v>403962.50000000006</v>
      </c>
    </row>
    <row r="16" spans="1:12" x14ac:dyDescent="0.3">
      <c r="A16">
        <v>1104</v>
      </c>
      <c r="B16" t="s">
        <v>244</v>
      </c>
      <c r="C16">
        <v>2022</v>
      </c>
      <c r="D16">
        <v>1.586452</v>
      </c>
      <c r="E16">
        <v>605541.1</v>
      </c>
      <c r="F16">
        <v>26.650919999999999</v>
      </c>
      <c r="G16">
        <v>257898.4</v>
      </c>
      <c r="H16">
        <v>0.465847334374968</v>
      </c>
      <c r="I16">
        <v>6.5087279999999996</v>
      </c>
      <c r="J16">
        <v>212</v>
      </c>
      <c r="K16" s="1">
        <f xml:space="preserve"> 2.2519*10^7</f>
        <v>22519000</v>
      </c>
      <c r="L16" s="1">
        <f t="shared" si="0"/>
        <v>106221.69811320755</v>
      </c>
    </row>
    <row r="17" spans="1:12" x14ac:dyDescent="0.3">
      <c r="A17">
        <v>1122</v>
      </c>
      <c r="B17" t="s">
        <v>245</v>
      </c>
      <c r="C17">
        <v>2016</v>
      </c>
      <c r="D17">
        <v>3.4981499999999999</v>
      </c>
      <c r="E17">
        <v>231680.9</v>
      </c>
      <c r="F17">
        <v>23.844270000000002</v>
      </c>
      <c r="G17">
        <v>81244.27</v>
      </c>
      <c r="H17">
        <v>0.3182026</v>
      </c>
      <c r="I17">
        <v>3.1266669999999999</v>
      </c>
      <c r="J17">
        <v>108.8</v>
      </c>
      <c r="K17" s="1">
        <f xml:space="preserve"> 2.61464*10^7</f>
        <v>26146400</v>
      </c>
      <c r="L17" s="1">
        <f t="shared" si="0"/>
        <v>240316.17647058825</v>
      </c>
    </row>
    <row r="18" spans="1:12" x14ac:dyDescent="0.3">
      <c r="A18">
        <v>1131</v>
      </c>
      <c r="B18" t="s">
        <v>246</v>
      </c>
      <c r="C18">
        <v>2018</v>
      </c>
      <c r="D18">
        <v>4.3782889999999997</v>
      </c>
      <c r="E18">
        <v>4091.8580000000002</v>
      </c>
      <c r="F18">
        <v>24.922779999999999</v>
      </c>
      <c r="G18">
        <v>1611.0889999999999</v>
      </c>
      <c r="H18">
        <v>0.23819460000000001</v>
      </c>
      <c r="I18">
        <v>2.7750119999999998</v>
      </c>
      <c r="J18">
        <v>16.5</v>
      </c>
      <c r="K18" s="1">
        <f>536286</f>
        <v>536286</v>
      </c>
      <c r="L18" s="1">
        <f t="shared" si="0"/>
        <v>32502.18181818182</v>
      </c>
    </row>
    <row r="19" spans="1:12" x14ac:dyDescent="0.3">
      <c r="A19">
        <v>1217</v>
      </c>
      <c r="B19" t="s">
        <v>247</v>
      </c>
      <c r="C19">
        <v>2014</v>
      </c>
      <c r="D19">
        <v>4.0549099999999996</v>
      </c>
      <c r="E19">
        <v>25830.48</v>
      </c>
      <c r="F19">
        <v>22.876159999999999</v>
      </c>
      <c r="G19">
        <v>6703.7269999999999</v>
      </c>
      <c r="H19">
        <v>0.2654898</v>
      </c>
      <c r="I19">
        <v>3.32</v>
      </c>
      <c r="J19">
        <v>37.5</v>
      </c>
      <c r="K19" s="1">
        <f xml:space="preserve"> 3.27061*10^6</f>
        <v>3270610</v>
      </c>
      <c r="L19" s="1">
        <f t="shared" si="0"/>
        <v>87216.266666666663</v>
      </c>
    </row>
    <row r="20" spans="1:12" x14ac:dyDescent="0.3">
      <c r="A20">
        <v>1295</v>
      </c>
      <c r="B20" t="s">
        <v>248</v>
      </c>
      <c r="C20">
        <v>2015</v>
      </c>
      <c r="D20">
        <v>1.9157949999999999</v>
      </c>
      <c r="E20">
        <v>764125.4</v>
      </c>
      <c r="F20">
        <v>28.157299999999999</v>
      </c>
      <c r="G20">
        <v>230144.5</v>
      </c>
      <c r="H20">
        <v>0.30535230000000002</v>
      </c>
      <c r="I20">
        <v>5.0228890000000002</v>
      </c>
      <c r="J20">
        <v>239.1</v>
      </c>
      <c r="K20" s="1">
        <f xml:space="preserve"> 3.33185*10^7</f>
        <v>33318500.000000004</v>
      </c>
      <c r="L20" s="1">
        <f t="shared" si="0"/>
        <v>139349.64450020914</v>
      </c>
    </row>
    <row r="21" spans="1:12" x14ac:dyDescent="0.3">
      <c r="A21">
        <v>1353</v>
      </c>
      <c r="B21" t="s">
        <v>249</v>
      </c>
      <c r="C21">
        <v>2016</v>
      </c>
      <c r="D21">
        <v>2.9243920000000001</v>
      </c>
      <c r="E21">
        <v>1814448</v>
      </c>
      <c r="F21">
        <v>23.227360000000001</v>
      </c>
      <c r="G21">
        <v>784566.8</v>
      </c>
      <c r="H21">
        <v>0.37122179999999999</v>
      </c>
      <c r="I21">
        <v>4.2374260000000001</v>
      </c>
      <c r="J21">
        <v>280.5</v>
      </c>
      <c r="K21" s="1">
        <f xml:space="preserve"> 1.68468*10^8</f>
        <v>168468000</v>
      </c>
      <c r="L21" s="1">
        <f t="shared" si="0"/>
        <v>600598.93048128346</v>
      </c>
    </row>
    <row r="22" spans="1:12" x14ac:dyDescent="0.3">
      <c r="A22">
        <v>1866</v>
      </c>
      <c r="B22" t="s">
        <v>250</v>
      </c>
      <c r="C22">
        <v>2016</v>
      </c>
      <c r="D22">
        <v>3.411978</v>
      </c>
      <c r="E22">
        <v>30188.73</v>
      </c>
      <c r="F22">
        <v>32.190449999999998</v>
      </c>
      <c r="G22">
        <v>16725.62</v>
      </c>
      <c r="H22">
        <v>0.26502249999999999</v>
      </c>
      <c r="I22">
        <v>4.2136360000000002</v>
      </c>
      <c r="J22">
        <v>11.5</v>
      </c>
      <c r="K22" s="1">
        <f xml:space="preserve"> 3.34795*10^6</f>
        <v>3347950</v>
      </c>
      <c r="L22" s="1">
        <f t="shared" si="0"/>
        <v>291126.08695652173</v>
      </c>
    </row>
    <row r="23" spans="1:12" x14ac:dyDescent="0.3">
      <c r="A23">
        <v>1891</v>
      </c>
      <c r="B23" t="s">
        <v>251</v>
      </c>
      <c r="C23">
        <v>2015</v>
      </c>
      <c r="D23">
        <v>1.790761</v>
      </c>
      <c r="E23">
        <v>379780</v>
      </c>
      <c r="F23">
        <v>26.91957</v>
      </c>
      <c r="G23">
        <v>98738.84</v>
      </c>
      <c r="H23">
        <v>0.26427780000000001</v>
      </c>
      <c r="I23">
        <v>3.170833</v>
      </c>
      <c r="J23">
        <v>116</v>
      </c>
      <c r="K23" s="1">
        <f xml:space="preserve"> 3.88314*10^7</f>
        <v>38831400</v>
      </c>
      <c r="L23" s="1">
        <f t="shared" si="0"/>
        <v>334753.44827586209</v>
      </c>
    </row>
    <row r="24" spans="1:12" x14ac:dyDescent="0.3">
      <c r="A24">
        <v>1979</v>
      </c>
      <c r="B24" t="s">
        <v>252</v>
      </c>
      <c r="C24">
        <v>2022</v>
      </c>
      <c r="D24">
        <v>2.1230000000000002</v>
      </c>
      <c r="E24">
        <v>32883.26</v>
      </c>
      <c r="F24">
        <v>31.852930000000001</v>
      </c>
      <c r="G24">
        <v>7678.3620000000001</v>
      </c>
      <c r="H24">
        <v>0.12323919999999999</v>
      </c>
      <c r="I24">
        <v>5.3266669999999996</v>
      </c>
      <c r="J24">
        <v>35.9</v>
      </c>
      <c r="K24" s="1">
        <f xml:space="preserve"> 3.82137*10^6</f>
        <v>3821370</v>
      </c>
      <c r="L24" s="1">
        <f t="shared" si="0"/>
        <v>106444.84679665738</v>
      </c>
    </row>
    <row r="25" spans="1:12" x14ac:dyDescent="0.3">
      <c r="A25">
        <v>2018</v>
      </c>
      <c r="B25" t="s">
        <v>253</v>
      </c>
      <c r="C25">
        <v>2020</v>
      </c>
      <c r="D25">
        <v>2.060667</v>
      </c>
      <c r="E25">
        <v>70167.179999999993</v>
      </c>
      <c r="F25">
        <v>30.18291</v>
      </c>
      <c r="G25">
        <v>22942</v>
      </c>
      <c r="H25">
        <v>0.1728442</v>
      </c>
      <c r="I25">
        <v>4.4508330000000003</v>
      </c>
      <c r="J25">
        <v>26.2</v>
      </c>
      <c r="K25" s="1">
        <f xml:space="preserve"> 7.56392*10^6</f>
        <v>7563920</v>
      </c>
      <c r="L25" s="1">
        <f t="shared" si="0"/>
        <v>288699.23664122139</v>
      </c>
    </row>
    <row r="26" spans="1:12" x14ac:dyDescent="0.3">
      <c r="A26">
        <v>2022</v>
      </c>
      <c r="B26" t="s">
        <v>254</v>
      </c>
      <c r="C26">
        <v>2018</v>
      </c>
      <c r="D26">
        <v>2.0376669999999999</v>
      </c>
      <c r="E26">
        <v>31709.18</v>
      </c>
      <c r="F26">
        <v>29.10051</v>
      </c>
      <c r="G26">
        <v>6356.1009999999997</v>
      </c>
      <c r="H26">
        <v>0.11027099999999999</v>
      </c>
      <c r="I26">
        <v>2.9824999999999999</v>
      </c>
      <c r="J26">
        <v>18</v>
      </c>
      <c r="K26" s="1">
        <f xml:space="preserve"> 3.89022*10^6</f>
        <v>3890220</v>
      </c>
      <c r="L26" s="1">
        <f t="shared" si="0"/>
        <v>216123.33333333334</v>
      </c>
    </row>
    <row r="27" spans="1:12" x14ac:dyDescent="0.3">
      <c r="A27">
        <v>2132</v>
      </c>
      <c r="B27" t="s">
        <v>255</v>
      </c>
      <c r="C27">
        <v>2015</v>
      </c>
      <c r="D27">
        <v>3.1064500000000002</v>
      </c>
      <c r="E27">
        <v>127102.3</v>
      </c>
      <c r="F27">
        <v>25.859629999999999</v>
      </c>
      <c r="G27">
        <v>27536.04</v>
      </c>
      <c r="H27">
        <v>0.2486611</v>
      </c>
      <c r="I27">
        <v>2.7858329999999998</v>
      </c>
      <c r="J27">
        <v>115</v>
      </c>
      <c r="K27" s="1">
        <f xml:space="preserve"> 1.10448*10^7</f>
        <v>11044799.999999998</v>
      </c>
      <c r="L27" s="1">
        <f t="shared" si="0"/>
        <v>96041.739130434769</v>
      </c>
    </row>
    <row r="28" spans="1:12" x14ac:dyDescent="0.3">
      <c r="A28">
        <v>2721</v>
      </c>
      <c r="B28" t="s">
        <v>256</v>
      </c>
      <c r="C28">
        <v>2022</v>
      </c>
      <c r="D28">
        <v>3.3308230000000001</v>
      </c>
      <c r="E28">
        <v>2797309</v>
      </c>
      <c r="F28">
        <v>27.54674</v>
      </c>
      <c r="G28">
        <v>1532267</v>
      </c>
      <c r="H28">
        <v>0.42424390000000001</v>
      </c>
      <c r="I28">
        <v>5.1609999999999996</v>
      </c>
      <c r="J28">
        <v>1530.5</v>
      </c>
      <c r="K28" s="1">
        <f xml:space="preserve"> 2.42132*10^8</f>
        <v>242132000</v>
      </c>
      <c r="L28" s="1">
        <f t="shared" si="0"/>
        <v>158204.5083306109</v>
      </c>
    </row>
    <row r="29" spans="1:12" x14ac:dyDescent="0.3">
      <c r="A29">
        <v>3131</v>
      </c>
      <c r="B29" t="s">
        <v>257</v>
      </c>
      <c r="C29">
        <v>2016</v>
      </c>
      <c r="D29">
        <v>2.694</v>
      </c>
      <c r="E29">
        <v>1111623</v>
      </c>
      <c r="F29">
        <v>29.55574</v>
      </c>
      <c r="G29">
        <v>363844.5</v>
      </c>
      <c r="H29">
        <v>0.32780480000000001</v>
      </c>
      <c r="I29">
        <v>6.0449999999999999</v>
      </c>
      <c r="J29">
        <v>626</v>
      </c>
      <c r="K29" s="1">
        <f xml:space="preserve"> 8.48564*10^7</f>
        <v>84856400</v>
      </c>
      <c r="L29" s="1">
        <f t="shared" si="0"/>
        <v>135553.35463258787</v>
      </c>
    </row>
    <row r="30" spans="1:12" x14ac:dyDescent="0.3">
      <c r="A30">
        <v>3138</v>
      </c>
      <c r="B30" t="s">
        <v>258</v>
      </c>
      <c r="C30">
        <v>2016</v>
      </c>
      <c r="D30">
        <v>2.694</v>
      </c>
      <c r="E30">
        <v>281567.59999999998</v>
      </c>
      <c r="F30">
        <v>29.55574</v>
      </c>
      <c r="G30">
        <v>126321.5</v>
      </c>
      <c r="H30">
        <v>0.37037910000000002</v>
      </c>
      <c r="I30">
        <v>6.0449999999999999</v>
      </c>
      <c r="J30">
        <v>348</v>
      </c>
      <c r="K30" s="1">
        <f xml:space="preserve"> 1.90485*10^7</f>
        <v>19048500</v>
      </c>
      <c r="L30" s="1">
        <f t="shared" si="0"/>
        <v>54737.068965517239</v>
      </c>
    </row>
    <row r="31" spans="1:12" x14ac:dyDescent="0.3">
      <c r="A31">
        <v>3140</v>
      </c>
      <c r="B31" t="s">
        <v>259</v>
      </c>
      <c r="C31">
        <v>2017</v>
      </c>
      <c r="D31">
        <v>2.6859090000000001</v>
      </c>
      <c r="E31">
        <v>3675615</v>
      </c>
      <c r="F31">
        <v>29.68665</v>
      </c>
      <c r="G31">
        <v>1388098</v>
      </c>
      <c r="H31">
        <v>0.35765049999999998</v>
      </c>
      <c r="I31">
        <v>6.0449999999999999</v>
      </c>
      <c r="J31">
        <v>1616.1</v>
      </c>
      <c r="K31" s="1">
        <f xml:space="preserve"> 2.57779*10^8</f>
        <v>257778999.99999997</v>
      </c>
      <c r="L31" s="1">
        <f t="shared" si="0"/>
        <v>159506.83744817771</v>
      </c>
    </row>
    <row r="32" spans="1:12" x14ac:dyDescent="0.3">
      <c r="A32">
        <v>3287</v>
      </c>
      <c r="B32" t="s">
        <v>260</v>
      </c>
      <c r="C32">
        <v>2016</v>
      </c>
      <c r="D32">
        <v>4.4111140000000004</v>
      </c>
      <c r="E32">
        <v>494064.4</v>
      </c>
      <c r="F32">
        <v>27.676670000000001</v>
      </c>
      <c r="G32">
        <v>258883</v>
      </c>
      <c r="H32">
        <v>0.41042689999999998</v>
      </c>
      <c r="I32">
        <v>4.1651049999999996</v>
      </c>
      <c r="J32">
        <v>293.60000000000002</v>
      </c>
      <c r="K32" s="1">
        <f xml:space="preserve"> 5.31113*10^7</f>
        <v>53111300</v>
      </c>
      <c r="L32" s="1">
        <f t="shared" si="0"/>
        <v>180896.79836512261</v>
      </c>
    </row>
    <row r="33" spans="1:12" x14ac:dyDescent="0.3">
      <c r="A33">
        <v>3775</v>
      </c>
      <c r="B33" t="s">
        <v>261</v>
      </c>
      <c r="C33">
        <v>2016</v>
      </c>
      <c r="D33">
        <v>3.5133040000000002</v>
      </c>
      <c r="E33">
        <v>460111.4</v>
      </c>
      <c r="F33">
        <v>26.698789999999999</v>
      </c>
      <c r="G33">
        <v>181481.2</v>
      </c>
      <c r="H33">
        <v>0.35302955845887063</v>
      </c>
      <c r="I33" s="2">
        <v>3.6183329999999998</v>
      </c>
      <c r="J33">
        <v>475</v>
      </c>
      <c r="K33" s="1">
        <f xml:space="preserve"> 4.89881*10^7</f>
        <v>48988100</v>
      </c>
      <c r="L33" s="1">
        <f t="shared" si="0"/>
        <v>103132.84210526316</v>
      </c>
    </row>
    <row r="34" spans="1:12" x14ac:dyDescent="0.3">
      <c r="A34">
        <v>3982</v>
      </c>
      <c r="B34" t="s">
        <v>262</v>
      </c>
      <c r="C34">
        <v>2014</v>
      </c>
      <c r="D34">
        <v>2.3168329999999999</v>
      </c>
      <c r="E34">
        <v>37801.910000000003</v>
      </c>
      <c r="F34">
        <v>30.069600000000001</v>
      </c>
      <c r="G34">
        <v>60438.92</v>
      </c>
      <c r="H34">
        <v>0.33274049999999999</v>
      </c>
      <c r="I34">
        <v>3.1666669999999999</v>
      </c>
      <c r="J34">
        <v>27.2</v>
      </c>
      <c r="K34" s="1">
        <f xml:space="preserve"> 3.9955*10^6</f>
        <v>3995500</v>
      </c>
      <c r="L34" s="1">
        <f t="shared" si="0"/>
        <v>146893.38235294117</v>
      </c>
    </row>
    <row r="35" spans="1:12" x14ac:dyDescent="0.3">
      <c r="A35">
        <v>4042</v>
      </c>
      <c r="B35" t="s">
        <v>263</v>
      </c>
      <c r="C35">
        <v>2016</v>
      </c>
      <c r="D35">
        <v>3.9594079999999998</v>
      </c>
      <c r="E35">
        <v>475864.3</v>
      </c>
      <c r="F35">
        <v>30.902889999999999</v>
      </c>
      <c r="G35">
        <v>139390.1</v>
      </c>
      <c r="H35">
        <v>0.2273336</v>
      </c>
      <c r="I35">
        <v>3.7930830000000002</v>
      </c>
      <c r="J35">
        <v>136</v>
      </c>
      <c r="K35" s="1">
        <f xml:space="preserve"> 5.95721*10^7</f>
        <v>59572100</v>
      </c>
      <c r="L35" s="1">
        <f t="shared" si="0"/>
        <v>438030.14705882355</v>
      </c>
    </row>
    <row r="36" spans="1:12" x14ac:dyDescent="0.3">
      <c r="A36">
        <v>7210</v>
      </c>
      <c r="B36" t="s">
        <v>264</v>
      </c>
      <c r="C36">
        <v>2019</v>
      </c>
      <c r="D36">
        <v>3.9510869999999998</v>
      </c>
      <c r="E36">
        <v>1393892</v>
      </c>
      <c r="F36">
        <v>28.649660000000001</v>
      </c>
      <c r="G36">
        <v>576034.5</v>
      </c>
      <c r="H36">
        <v>0.37413170000000001</v>
      </c>
      <c r="I36">
        <v>2.2018779999999998</v>
      </c>
      <c r="J36">
        <v>417.3</v>
      </c>
      <c r="K36" s="1">
        <f xml:space="preserve"> 1.64178*10^8</f>
        <v>164178000</v>
      </c>
      <c r="L36" s="1">
        <f t="shared" si="0"/>
        <v>393429.18763479509</v>
      </c>
    </row>
    <row r="37" spans="1:12" x14ac:dyDescent="0.3">
      <c r="A37">
        <v>8042</v>
      </c>
      <c r="B37" t="s">
        <v>265</v>
      </c>
      <c r="C37">
        <v>2022</v>
      </c>
      <c r="D37">
        <v>3.2271779999999999</v>
      </c>
      <c r="E37">
        <v>4507919</v>
      </c>
      <c r="F37">
        <v>27.54674</v>
      </c>
      <c r="G37">
        <v>2203020</v>
      </c>
      <c r="H37">
        <v>0.38593660000000002</v>
      </c>
      <c r="I37">
        <v>4.9225000000000003</v>
      </c>
      <c r="J37">
        <v>2491.1999999999998</v>
      </c>
      <c r="K37" s="1">
        <f xml:space="preserve"> 4.34605*10^8</f>
        <v>434605000</v>
      </c>
      <c r="L37" s="1">
        <f t="shared" si="0"/>
        <v>174456.08542068081</v>
      </c>
    </row>
    <row r="38" spans="1:12" x14ac:dyDescent="0.3">
      <c r="A38">
        <v>10003</v>
      </c>
      <c r="B38" t="s">
        <v>266</v>
      </c>
      <c r="C38">
        <v>2015</v>
      </c>
      <c r="D38">
        <v>1.8441669999999999</v>
      </c>
      <c r="E38">
        <v>320487.7</v>
      </c>
      <c r="F38">
        <v>28.44256</v>
      </c>
      <c r="G38">
        <v>51417.32</v>
      </c>
      <c r="H38">
        <v>0.1174954</v>
      </c>
      <c r="I38">
        <v>3.1633330000000002</v>
      </c>
      <c r="J38">
        <v>35</v>
      </c>
      <c r="K38" s="1">
        <f xml:space="preserve"> 3.60122*10^7</f>
        <v>36012200</v>
      </c>
      <c r="L38" s="1">
        <f t="shared" si="0"/>
        <v>1028920</v>
      </c>
    </row>
    <row r="39" spans="1:12" x14ac:dyDescent="0.3">
      <c r="A39">
        <v>10148</v>
      </c>
      <c r="B39" t="s">
        <v>267</v>
      </c>
      <c r="C39">
        <v>2014</v>
      </c>
      <c r="D39">
        <v>2.572667</v>
      </c>
      <c r="E39">
        <v>18299.34</v>
      </c>
      <c r="F39">
        <v>31.290240000000001</v>
      </c>
      <c r="G39">
        <v>5142.2250000000004</v>
      </c>
      <c r="H39">
        <v>0.25290020000000002</v>
      </c>
      <c r="I39">
        <v>3.1274999999999999</v>
      </c>
      <c r="J39">
        <v>60</v>
      </c>
      <c r="K39" s="1">
        <f xml:space="preserve"> 2.09723*10^6</f>
        <v>2097230</v>
      </c>
      <c r="L39" s="1">
        <f t="shared" si="0"/>
        <v>34953.833333333336</v>
      </c>
    </row>
    <row r="40" spans="1:12" x14ac:dyDescent="0.3">
      <c r="A40">
        <v>10244</v>
      </c>
      <c r="B40" t="s">
        <v>268</v>
      </c>
      <c r="C40">
        <v>2017</v>
      </c>
      <c r="D40">
        <v>2.032</v>
      </c>
      <c r="E40">
        <v>344583.2</v>
      </c>
      <c r="F40">
        <v>28.458680000000001</v>
      </c>
      <c r="G40">
        <v>118505.4</v>
      </c>
      <c r="H40">
        <v>0.28973850000000001</v>
      </c>
      <c r="I40">
        <v>3.1724999999999999</v>
      </c>
      <c r="J40">
        <v>27.2</v>
      </c>
      <c r="K40" s="1">
        <f xml:space="preserve"> 3.52774*10^7</f>
        <v>35277400</v>
      </c>
      <c r="L40" s="1">
        <f t="shared" si="0"/>
        <v>1296963.2352941176</v>
      </c>
    </row>
    <row r="41" spans="1:12" x14ac:dyDescent="0.3">
      <c r="A41">
        <v>10328</v>
      </c>
      <c r="B41" t="s">
        <v>269</v>
      </c>
      <c r="C41">
        <v>2016</v>
      </c>
      <c r="D41">
        <v>2.5525000000000002</v>
      </c>
      <c r="E41">
        <v>142265.5</v>
      </c>
      <c r="F41">
        <v>32.190449999999998</v>
      </c>
      <c r="G41">
        <v>79720.039999999994</v>
      </c>
      <c r="H41">
        <v>0.29854940000000002</v>
      </c>
      <c r="I41">
        <v>3.3908330000000002</v>
      </c>
      <c r="J41">
        <v>21</v>
      </c>
      <c r="K41" s="1">
        <f xml:space="preserve"> 1.52663*10^7</f>
        <v>15266300</v>
      </c>
      <c r="L41" s="1">
        <f t="shared" si="0"/>
        <v>726966.66666666663</v>
      </c>
    </row>
    <row r="42" spans="1:12" x14ac:dyDescent="0.3">
      <c r="A42">
        <v>10360</v>
      </c>
      <c r="B42" t="s">
        <v>270</v>
      </c>
      <c r="C42">
        <v>2016</v>
      </c>
      <c r="D42">
        <v>2.2916669999999999</v>
      </c>
      <c r="E42">
        <v>606883.80000000005</v>
      </c>
      <c r="F42">
        <v>30.902889999999999</v>
      </c>
      <c r="G42">
        <v>115338.2</v>
      </c>
      <c r="H42">
        <v>0.17237620000000001</v>
      </c>
      <c r="I42">
        <v>3.2491669999999999</v>
      </c>
      <c r="J42">
        <v>90.8</v>
      </c>
      <c r="K42" s="1">
        <f xml:space="preserve"> 7.30351*10^7</f>
        <v>73035100</v>
      </c>
      <c r="L42" s="1">
        <f t="shared" si="0"/>
        <v>804351.32158590306</v>
      </c>
    </row>
    <row r="43" spans="1:12" x14ac:dyDescent="0.3">
      <c r="A43">
        <v>10362</v>
      </c>
      <c r="B43" t="s">
        <v>271</v>
      </c>
      <c r="C43">
        <v>2019</v>
      </c>
      <c r="D43">
        <v>1.849167</v>
      </c>
      <c r="E43">
        <v>506036.4</v>
      </c>
      <c r="F43">
        <v>23.247389999999999</v>
      </c>
      <c r="G43">
        <v>113054.9</v>
      </c>
      <c r="H43">
        <v>0.13556570000000001</v>
      </c>
      <c r="I43">
        <v>2.318333</v>
      </c>
      <c r="J43">
        <v>114</v>
      </c>
      <c r="K43" s="1">
        <f xml:space="preserve"> 4.89256*10^7</f>
        <v>48925599.999999993</v>
      </c>
      <c r="L43" s="1">
        <f t="shared" si="0"/>
        <v>429171.92982456135</v>
      </c>
    </row>
    <row r="44" spans="1:12" x14ac:dyDescent="0.3">
      <c r="A44">
        <v>10430</v>
      </c>
      <c r="B44" t="s">
        <v>272</v>
      </c>
      <c r="C44">
        <v>2015</v>
      </c>
      <c r="D44">
        <v>1.872333</v>
      </c>
      <c r="E44">
        <v>141447.20000000001</v>
      </c>
      <c r="F44">
        <v>25.859629999999999</v>
      </c>
      <c r="G44">
        <v>14045.92</v>
      </c>
      <c r="H44">
        <v>9.5338599999999996E-2</v>
      </c>
      <c r="I44">
        <v>2.7858329999999998</v>
      </c>
      <c r="J44">
        <v>26.1</v>
      </c>
      <c r="K44" s="1">
        <f xml:space="preserve"> 1.5222*10^7</f>
        <v>15222000</v>
      </c>
      <c r="L44" s="1">
        <f t="shared" si="0"/>
        <v>583218.39080459764</v>
      </c>
    </row>
    <row r="45" spans="1:12" x14ac:dyDescent="0.3">
      <c r="A45">
        <v>10686</v>
      </c>
      <c r="B45" t="s">
        <v>273</v>
      </c>
      <c r="C45">
        <v>2020</v>
      </c>
      <c r="D45">
        <v>2.060667</v>
      </c>
      <c r="E45">
        <v>53361.29</v>
      </c>
      <c r="F45">
        <v>30.18291</v>
      </c>
      <c r="G45">
        <v>22455.599999999999</v>
      </c>
      <c r="H45">
        <v>0.3628497</v>
      </c>
      <c r="I45">
        <v>4.4508330000000003</v>
      </c>
      <c r="J45">
        <v>26.5</v>
      </c>
      <c r="K45" s="1">
        <f xml:space="preserve"> 4.20637*10^6</f>
        <v>4206370</v>
      </c>
      <c r="L45" s="1">
        <f t="shared" si="0"/>
        <v>158730.94339622642</v>
      </c>
    </row>
    <row r="46" spans="1:12" x14ac:dyDescent="0.3">
      <c r="A46">
        <v>10795</v>
      </c>
      <c r="B46" t="s">
        <v>274</v>
      </c>
      <c r="C46">
        <v>2015</v>
      </c>
      <c r="D46">
        <v>3.7468330000000001</v>
      </c>
      <c r="E46">
        <v>38593.949999999997</v>
      </c>
      <c r="F46">
        <v>27.109580000000001</v>
      </c>
      <c r="G46">
        <v>6744.1090000000004</v>
      </c>
      <c r="H46">
        <v>0.23271629999999999</v>
      </c>
      <c r="I46">
        <v>3.2616670000000001</v>
      </c>
      <c r="J46">
        <v>30</v>
      </c>
      <c r="K46" s="1">
        <f xml:space="preserve"> 5.05138*10^6</f>
        <v>5051380</v>
      </c>
      <c r="L46" s="1">
        <f t="shared" si="0"/>
        <v>168379.33333333334</v>
      </c>
    </row>
    <row r="47" spans="1:12" x14ac:dyDescent="0.3">
      <c r="A47">
        <v>10855</v>
      </c>
      <c r="B47" t="s">
        <v>275</v>
      </c>
      <c r="C47">
        <v>2017</v>
      </c>
      <c r="D47">
        <v>1.643667</v>
      </c>
      <c r="E47">
        <v>617034.6</v>
      </c>
      <c r="F47">
        <v>24.440670000000001</v>
      </c>
      <c r="G47">
        <v>23316.59</v>
      </c>
      <c r="H47">
        <v>3.6909999999999998E-2</v>
      </c>
      <c r="I47">
        <v>2.9925000000000002</v>
      </c>
      <c r="J47">
        <v>40</v>
      </c>
      <c r="K47" s="1">
        <f xml:space="preserve"> 7.61627*10^7</f>
        <v>76162700</v>
      </c>
      <c r="L47" s="1">
        <f t="shared" si="0"/>
        <v>1904067.5</v>
      </c>
    </row>
    <row r="48" spans="1:12" x14ac:dyDescent="0.3">
      <c r="A48">
        <v>10867</v>
      </c>
      <c r="B48" t="s">
        <v>276</v>
      </c>
      <c r="C48">
        <v>2021</v>
      </c>
      <c r="D48">
        <v>1.800333</v>
      </c>
      <c r="E48">
        <v>435865</v>
      </c>
      <c r="F48">
        <v>28.463560000000001</v>
      </c>
      <c r="G48">
        <v>65545.87</v>
      </c>
      <c r="H48">
        <v>0.16085930000000001</v>
      </c>
      <c r="I48">
        <v>7.3791669999999998</v>
      </c>
      <c r="J48">
        <v>64.8</v>
      </c>
      <c r="K48" s="1">
        <f xml:space="preserve"> 3.82523*10^7</f>
        <v>38252300</v>
      </c>
      <c r="L48" s="1">
        <f t="shared" si="0"/>
        <v>590313.27160493832</v>
      </c>
    </row>
    <row r="49" spans="1:12" x14ac:dyDescent="0.3">
      <c r="A49">
        <v>50146</v>
      </c>
      <c r="B49" t="s">
        <v>277</v>
      </c>
      <c r="C49">
        <v>2015</v>
      </c>
      <c r="D49">
        <v>3.2850000000000001</v>
      </c>
      <c r="E49">
        <v>118102.8</v>
      </c>
      <c r="F49">
        <v>28.129950000000001</v>
      </c>
      <c r="G49">
        <v>13210.18</v>
      </c>
      <c r="H49">
        <v>0.1375952</v>
      </c>
      <c r="I49">
        <v>3.0325000000000002</v>
      </c>
      <c r="J49">
        <v>11.7</v>
      </c>
      <c r="K49" s="1">
        <f xml:space="preserve"> 1.6131*10^7</f>
        <v>16131000</v>
      </c>
      <c r="L49" s="1">
        <f t="shared" si="0"/>
        <v>1378717.9487179487</v>
      </c>
    </row>
    <row r="50" spans="1:12" x14ac:dyDescent="0.3">
      <c r="A50">
        <v>50240</v>
      </c>
      <c r="B50" t="s">
        <v>278</v>
      </c>
      <c r="C50">
        <v>2014</v>
      </c>
      <c r="D50">
        <v>2.4551669999999999</v>
      </c>
      <c r="E50">
        <v>283515.7</v>
      </c>
      <c r="F50">
        <v>24.465579999999999</v>
      </c>
      <c r="G50">
        <v>31744.49</v>
      </c>
      <c r="H50">
        <v>9.5352099999999995E-2</v>
      </c>
      <c r="I50">
        <v>2.931667</v>
      </c>
      <c r="J50">
        <v>41.4</v>
      </c>
      <c r="K50" s="1">
        <f xml:space="preserve"> 3.68464*10^7</f>
        <v>36846400</v>
      </c>
      <c r="L50" s="1">
        <f t="shared" si="0"/>
        <v>890009.66183574882</v>
      </c>
    </row>
    <row r="51" spans="1:12" x14ac:dyDescent="0.3">
      <c r="A51">
        <v>50275</v>
      </c>
      <c r="B51" t="s">
        <v>279</v>
      </c>
      <c r="C51">
        <v>2014</v>
      </c>
      <c r="D51">
        <v>3.382333</v>
      </c>
      <c r="E51">
        <v>87383.41</v>
      </c>
      <c r="F51">
        <v>26.19031</v>
      </c>
      <c r="G51">
        <v>9286.2710000000006</v>
      </c>
      <c r="H51">
        <v>9.8396499999999998E-2</v>
      </c>
      <c r="I51">
        <v>3.9641670000000002</v>
      </c>
      <c r="J51">
        <v>13</v>
      </c>
      <c r="K51" s="1">
        <f xml:space="preserve"> 1.20514*10^7</f>
        <v>12051400.000000002</v>
      </c>
      <c r="L51" s="1">
        <f t="shared" si="0"/>
        <v>927030.76923076937</v>
      </c>
    </row>
    <row r="52" spans="1:12" x14ac:dyDescent="0.3">
      <c r="A52">
        <v>50366</v>
      </c>
      <c r="B52" t="s">
        <v>280</v>
      </c>
      <c r="C52">
        <v>2020</v>
      </c>
      <c r="D52">
        <v>2.1421670000000002</v>
      </c>
      <c r="E52">
        <v>37439.15</v>
      </c>
      <c r="F52">
        <v>28.463560000000001</v>
      </c>
      <c r="G52">
        <v>20860.21</v>
      </c>
      <c r="H52">
        <v>0.3681932</v>
      </c>
      <c r="I52">
        <v>4.2283330000000001</v>
      </c>
      <c r="J52">
        <v>16.399999999999999</v>
      </c>
      <c r="K52" s="1">
        <f xml:space="preserve"> 2.7579*10^6</f>
        <v>2757900</v>
      </c>
      <c r="L52" s="1">
        <f t="shared" si="0"/>
        <v>168164.63414634147</v>
      </c>
    </row>
    <row r="53" spans="1:12" x14ac:dyDescent="0.3">
      <c r="A53">
        <v>50395</v>
      </c>
      <c r="B53" t="s">
        <v>281</v>
      </c>
      <c r="C53">
        <v>2015</v>
      </c>
      <c r="D53">
        <v>2.3496670000000002</v>
      </c>
      <c r="E53">
        <v>206525.8</v>
      </c>
      <c r="F53">
        <v>30.63034</v>
      </c>
      <c r="G53">
        <v>51970.52</v>
      </c>
      <c r="H53">
        <v>0.23308590000000001</v>
      </c>
      <c r="I53">
        <v>2.8566669999999998</v>
      </c>
      <c r="J53">
        <v>22</v>
      </c>
      <c r="K53" s="1">
        <f xml:space="preserve"> 2.41995*10^7</f>
        <v>24199500</v>
      </c>
      <c r="L53" s="1">
        <f t="shared" si="0"/>
        <v>1099977.2727272727</v>
      </c>
    </row>
    <row r="54" spans="1:12" x14ac:dyDescent="0.3">
      <c r="A54">
        <v>50398</v>
      </c>
      <c r="B54" t="s">
        <v>282</v>
      </c>
      <c r="C54">
        <v>2015</v>
      </c>
      <c r="D54">
        <v>3.2850000000000001</v>
      </c>
      <c r="E54">
        <v>327709.90000000002</v>
      </c>
      <c r="F54">
        <v>28.129950000000001</v>
      </c>
      <c r="G54">
        <v>183512.5</v>
      </c>
      <c r="H54">
        <v>0.47786990000000001</v>
      </c>
      <c r="I54">
        <v>3.0325000000000002</v>
      </c>
      <c r="J54">
        <v>71.2</v>
      </c>
      <c r="K54" s="1">
        <f xml:space="preserve"> 3.25562*10^7</f>
        <v>32556200</v>
      </c>
      <c r="L54" s="1">
        <f t="shared" si="0"/>
        <v>457250</v>
      </c>
    </row>
    <row r="55" spans="1:12" x14ac:dyDescent="0.3">
      <c r="A55">
        <v>50410</v>
      </c>
      <c r="B55" t="s">
        <v>283</v>
      </c>
      <c r="C55">
        <v>2018</v>
      </c>
      <c r="D55">
        <v>2.9470000000000001</v>
      </c>
      <c r="E55">
        <v>145886.20000000001</v>
      </c>
      <c r="F55">
        <v>29.857119999999998</v>
      </c>
      <c r="G55">
        <v>72588.539999999994</v>
      </c>
      <c r="H55">
        <v>0.37915890000000002</v>
      </c>
      <c r="I55">
        <v>6.0449999999999999</v>
      </c>
      <c r="J55">
        <v>67</v>
      </c>
      <c r="K55" s="1">
        <f xml:space="preserve"> 1.01354*10^7</f>
        <v>10135400.000000002</v>
      </c>
      <c r="L55" s="1">
        <f t="shared" si="0"/>
        <v>151274.62686567166</v>
      </c>
    </row>
    <row r="56" spans="1:12" x14ac:dyDescent="0.3">
      <c r="A56">
        <v>50456</v>
      </c>
      <c r="B56" t="s">
        <v>284</v>
      </c>
      <c r="C56">
        <v>2016</v>
      </c>
      <c r="D56">
        <v>2.1669999999999998</v>
      </c>
      <c r="E56">
        <v>130234.5</v>
      </c>
      <c r="F56">
        <v>28.03031</v>
      </c>
      <c r="G56">
        <v>9652.8320000000003</v>
      </c>
      <c r="H56">
        <v>7.2406999999999999E-2</v>
      </c>
      <c r="I56">
        <v>2.8866670000000001</v>
      </c>
      <c r="J56">
        <v>12.5</v>
      </c>
      <c r="K56" s="1">
        <f xml:space="preserve"> 1.67279*10^7</f>
        <v>16727900</v>
      </c>
      <c r="L56" s="1">
        <f t="shared" si="0"/>
        <v>1338232</v>
      </c>
    </row>
    <row r="57" spans="1:12" x14ac:dyDescent="0.3">
      <c r="A57">
        <v>50476</v>
      </c>
      <c r="B57" t="s">
        <v>285</v>
      </c>
      <c r="C57">
        <v>2015</v>
      </c>
      <c r="D57">
        <v>2.3496670000000002</v>
      </c>
      <c r="E57">
        <v>181120.8</v>
      </c>
      <c r="F57">
        <v>30.63034</v>
      </c>
      <c r="G57">
        <v>29126.3</v>
      </c>
      <c r="H57">
        <v>0.1471314</v>
      </c>
      <c r="I57">
        <v>2.8566669999999998</v>
      </c>
      <c r="J57">
        <v>15.7</v>
      </c>
      <c r="K57" s="1">
        <f xml:space="preserve"> 2.26324*10^7</f>
        <v>22632400</v>
      </c>
      <c r="L57" s="1">
        <f t="shared" si="0"/>
        <v>1441554.1401273885</v>
      </c>
    </row>
    <row r="58" spans="1:12" x14ac:dyDescent="0.3">
      <c r="A58">
        <v>50491</v>
      </c>
      <c r="B58" t="s">
        <v>286</v>
      </c>
      <c r="C58">
        <v>2016</v>
      </c>
      <c r="D58">
        <v>2.5030000000000001</v>
      </c>
      <c r="E58">
        <v>2156874</v>
      </c>
      <c r="F58">
        <v>23.910699999999999</v>
      </c>
      <c r="G58">
        <v>135895.4</v>
      </c>
      <c r="H58">
        <v>5.9027799999999998E-2</v>
      </c>
      <c r="I58">
        <v>2.9725000000000001</v>
      </c>
      <c r="J58">
        <v>123</v>
      </c>
      <c r="K58" s="1">
        <f xml:space="preserve"> 2.84923*10^8</f>
        <v>284923000</v>
      </c>
      <c r="L58" s="1">
        <f t="shared" si="0"/>
        <v>2316447.1544715445</v>
      </c>
    </row>
    <row r="59" spans="1:12" x14ac:dyDescent="0.3">
      <c r="A59">
        <v>52072</v>
      </c>
      <c r="B59" t="s">
        <v>287</v>
      </c>
      <c r="C59">
        <v>2017</v>
      </c>
      <c r="D59">
        <v>2.990167</v>
      </c>
      <c r="E59">
        <v>433428.6</v>
      </c>
      <c r="F59">
        <v>26.758379999999999</v>
      </c>
      <c r="G59">
        <v>7783.9089999999997</v>
      </c>
      <c r="H59">
        <v>2.5541999999999999E-2</v>
      </c>
      <c r="I59">
        <v>4.4733330000000002</v>
      </c>
      <c r="J59">
        <v>24</v>
      </c>
      <c r="K59" s="1">
        <f xml:space="preserve"> 6.22514*10^7</f>
        <v>62251400</v>
      </c>
      <c r="L59" s="1">
        <f t="shared" si="0"/>
        <v>2593808.3333333335</v>
      </c>
    </row>
    <row r="60" spans="1:12" x14ac:dyDescent="0.3">
      <c r="A60">
        <v>52089</v>
      </c>
      <c r="B60" t="s">
        <v>288</v>
      </c>
      <c r="C60">
        <v>2015</v>
      </c>
      <c r="D60">
        <v>3.2996669999999999</v>
      </c>
      <c r="E60">
        <v>623740.6</v>
      </c>
      <c r="F60">
        <v>26.54786</v>
      </c>
      <c r="G60">
        <v>44880.13</v>
      </c>
      <c r="H60">
        <v>5.7819799999999998E-2</v>
      </c>
      <c r="I60">
        <v>3.17</v>
      </c>
      <c r="J60">
        <v>27.2</v>
      </c>
      <c r="K60" s="1">
        <f xml:space="preserve"> 9.02524*10^7</f>
        <v>90252400</v>
      </c>
      <c r="L60" s="1">
        <f t="shared" si="0"/>
        <v>3318102.9411764708</v>
      </c>
    </row>
    <row r="61" spans="1:12" x14ac:dyDescent="0.3">
      <c r="A61">
        <v>54201</v>
      </c>
      <c r="B61" t="s">
        <v>289</v>
      </c>
      <c r="C61">
        <v>2020</v>
      </c>
      <c r="D61">
        <v>1.591</v>
      </c>
      <c r="E61">
        <v>273192.3</v>
      </c>
      <c r="F61">
        <v>25.822019999999998</v>
      </c>
      <c r="G61">
        <v>29419.72</v>
      </c>
      <c r="H61">
        <v>5.4099899999999999E-2</v>
      </c>
      <c r="I61">
        <v>4.2158329999999999</v>
      </c>
      <c r="J61">
        <v>46</v>
      </c>
      <c r="K61" s="1">
        <f xml:space="preserve"> 3.15032*10^7</f>
        <v>31503199.999999996</v>
      </c>
      <c r="L61" s="1">
        <f t="shared" si="0"/>
        <v>684852.17391304334</v>
      </c>
    </row>
    <row r="62" spans="1:12" x14ac:dyDescent="0.3">
      <c r="A62">
        <v>54276</v>
      </c>
      <c r="B62" t="s">
        <v>290</v>
      </c>
      <c r="C62">
        <v>2022</v>
      </c>
      <c r="D62">
        <v>2.9514999999999998</v>
      </c>
      <c r="E62">
        <v>107857.3</v>
      </c>
      <c r="F62">
        <v>27.54674</v>
      </c>
      <c r="G62">
        <v>14448.74</v>
      </c>
      <c r="H62">
        <v>0.11108899999999999</v>
      </c>
      <c r="I62">
        <v>5.2591669999999997</v>
      </c>
      <c r="J62">
        <v>28</v>
      </c>
      <c r="K62" s="1">
        <f xml:space="preserve"> 1.40271*10^7</f>
        <v>14027099.999999998</v>
      </c>
      <c r="L62" s="1">
        <f t="shared" si="0"/>
        <v>500967.8571428571</v>
      </c>
    </row>
    <row r="63" spans="1:12" x14ac:dyDescent="0.3">
      <c r="A63">
        <v>54335</v>
      </c>
      <c r="B63" t="s">
        <v>291</v>
      </c>
      <c r="C63">
        <v>2016</v>
      </c>
      <c r="D63">
        <v>2.1669999999999998</v>
      </c>
      <c r="E63">
        <v>37151.699999999997</v>
      </c>
      <c r="F63">
        <v>28.03031</v>
      </c>
      <c r="G63">
        <v>2266.4140000000002</v>
      </c>
      <c r="H63">
        <v>6.0847600000000002E-2</v>
      </c>
      <c r="I63">
        <v>2.8866670000000001</v>
      </c>
      <c r="J63">
        <v>2.5</v>
      </c>
      <c r="K63" s="1">
        <f xml:space="preserve"> 4.81479*10^6</f>
        <v>4814790</v>
      </c>
      <c r="L63" s="1">
        <f t="shared" si="0"/>
        <v>1925916</v>
      </c>
    </row>
    <row r="64" spans="1:12" x14ac:dyDescent="0.3">
      <c r="A64">
        <v>54556</v>
      </c>
      <c r="B64" t="s">
        <v>292</v>
      </c>
      <c r="C64">
        <v>2021</v>
      </c>
      <c r="D64">
        <v>1.800333</v>
      </c>
      <c r="E64">
        <v>430979.3</v>
      </c>
      <c r="F64">
        <v>28.463560000000001</v>
      </c>
      <c r="G64">
        <v>73976.649999999994</v>
      </c>
      <c r="H64">
        <v>0.1361011</v>
      </c>
      <c r="I64">
        <v>7.3791669999999998</v>
      </c>
      <c r="J64">
        <v>45</v>
      </c>
      <c r="K64" s="1">
        <f xml:space="preserve"> 4.0654*10^7</f>
        <v>40654000</v>
      </c>
      <c r="L64" s="1">
        <f t="shared" si="0"/>
        <v>903422.22222222225</v>
      </c>
    </row>
    <row r="65" spans="1:12" x14ac:dyDescent="0.3">
      <c r="A65">
        <v>54775</v>
      </c>
      <c r="B65" t="s">
        <v>293</v>
      </c>
      <c r="C65">
        <v>2019</v>
      </c>
      <c r="D65">
        <v>1.613167</v>
      </c>
      <c r="E65">
        <v>79069.119999999995</v>
      </c>
      <c r="F65">
        <v>25.457630000000002</v>
      </c>
      <c r="G65">
        <v>16103.94</v>
      </c>
      <c r="H65">
        <v>7.8762200000000004E-2</v>
      </c>
      <c r="I65">
        <v>2.0466669999999998</v>
      </c>
      <c r="J65">
        <v>21</v>
      </c>
      <c r="K65" s="1">
        <f xml:space="preserve"> 9.43883*10^6</f>
        <v>9438830</v>
      </c>
      <c r="L65" s="1">
        <f t="shared" si="0"/>
        <v>449468.09523809527</v>
      </c>
    </row>
    <row r="66" spans="1:12" x14ac:dyDescent="0.3">
      <c r="A66">
        <v>54780</v>
      </c>
      <c r="B66" t="s">
        <v>294</v>
      </c>
      <c r="C66">
        <v>2015</v>
      </c>
      <c r="D66">
        <v>2.0034999999999998</v>
      </c>
      <c r="E66">
        <v>444808.9</v>
      </c>
      <c r="F66">
        <v>25.998840000000001</v>
      </c>
      <c r="G66">
        <v>20637.7</v>
      </c>
      <c r="H66">
        <v>3.11326E-2</v>
      </c>
      <c r="I66">
        <v>3.1</v>
      </c>
      <c r="J66">
        <v>47</v>
      </c>
      <c r="K66" s="1">
        <f xml:space="preserve"> 5.75539*10^7</f>
        <v>57553900</v>
      </c>
      <c r="L66" s="1">
        <f t="shared" si="0"/>
        <v>1224551.0638297873</v>
      </c>
    </row>
    <row r="67" spans="1:12" x14ac:dyDescent="0.3">
      <c r="A67">
        <v>55245</v>
      </c>
      <c r="B67" t="s">
        <v>295</v>
      </c>
      <c r="C67">
        <v>2016</v>
      </c>
      <c r="D67">
        <v>2.0416669999999999</v>
      </c>
      <c r="E67">
        <v>287975.3</v>
      </c>
      <c r="F67">
        <v>26.241109999999999</v>
      </c>
      <c r="G67">
        <v>12407.82</v>
      </c>
      <c r="H67">
        <v>4.2718300000000001E-2</v>
      </c>
      <c r="I67">
        <v>3.8941669999999999</v>
      </c>
      <c r="J67">
        <v>18</v>
      </c>
      <c r="K67" s="1">
        <f xml:space="preserve"> 3.66168*10^7</f>
        <v>36616800</v>
      </c>
      <c r="L67" s="1">
        <f t="shared" ref="L67:L78" si="1">K67/J67</f>
        <v>2034266.6666666667</v>
      </c>
    </row>
    <row r="68" spans="1:12" x14ac:dyDescent="0.3">
      <c r="A68">
        <v>56786</v>
      </c>
      <c r="B68" t="s">
        <v>221</v>
      </c>
      <c r="C68">
        <v>2019</v>
      </c>
      <c r="D68">
        <v>2.6357409999999999</v>
      </c>
      <c r="E68">
        <v>326117.3</v>
      </c>
      <c r="F68">
        <v>26.015930000000001</v>
      </c>
      <c r="G68">
        <v>59011.16</v>
      </c>
      <c r="H68">
        <v>0.18168100000000001</v>
      </c>
      <c r="I68">
        <v>2.3385829999999999</v>
      </c>
      <c r="J68">
        <v>106.2</v>
      </c>
      <c r="K68" s="1">
        <f xml:space="preserve"> 4.06176*10^7</f>
        <v>40617599.999999993</v>
      </c>
      <c r="L68" s="1">
        <f t="shared" si="1"/>
        <v>382463.27683615813</v>
      </c>
    </row>
    <row r="69" spans="1:12" x14ac:dyDescent="0.3">
      <c r="A69">
        <v>58066</v>
      </c>
      <c r="B69" t="s">
        <v>296</v>
      </c>
      <c r="C69">
        <v>2014</v>
      </c>
      <c r="D69">
        <v>2.572667</v>
      </c>
      <c r="E69">
        <v>56528.72</v>
      </c>
      <c r="F69">
        <v>31.290240000000001</v>
      </c>
      <c r="G69">
        <v>23192.69</v>
      </c>
      <c r="H69">
        <v>0.4243111</v>
      </c>
      <c r="I69">
        <v>3.1274999999999999</v>
      </c>
      <c r="J69">
        <v>19.5</v>
      </c>
      <c r="K69" s="1">
        <f xml:space="preserve"> 5.44949*10^6</f>
        <v>5449490</v>
      </c>
      <c r="L69" s="1">
        <f t="shared" si="1"/>
        <v>279461.02564102563</v>
      </c>
    </row>
    <row r="70" spans="1:12" x14ac:dyDescent="0.3">
      <c r="A70">
        <v>58205</v>
      </c>
      <c r="B70" t="s">
        <v>297</v>
      </c>
      <c r="C70">
        <v>2016</v>
      </c>
      <c r="D70">
        <v>1.9021669999999999</v>
      </c>
      <c r="E70">
        <v>159900.5</v>
      </c>
      <c r="F70">
        <v>26.692440000000001</v>
      </c>
      <c r="G70">
        <v>9662.1450000000004</v>
      </c>
      <c r="H70">
        <v>6.4294299999999999E-2</v>
      </c>
      <c r="I70">
        <v>3.253333</v>
      </c>
      <c r="J70">
        <v>5</v>
      </c>
      <c r="K70" s="1">
        <f xml:space="preserve"> 1.7995*10^7</f>
        <v>17995000</v>
      </c>
      <c r="L70" s="1">
        <f t="shared" si="1"/>
        <v>3599000</v>
      </c>
    </row>
    <row r="71" spans="1:12" x14ac:dyDescent="0.3">
      <c r="A71">
        <v>641</v>
      </c>
      <c r="B71" t="s">
        <v>298</v>
      </c>
      <c r="C71">
        <v>2021</v>
      </c>
      <c r="D71">
        <v>2.7824879999999999</v>
      </c>
      <c r="E71">
        <v>1705144</v>
      </c>
      <c r="F71">
        <v>30.414929999999998</v>
      </c>
      <c r="G71">
        <v>665599.30000000005</v>
      </c>
      <c r="H71">
        <v>0.32722479999999998</v>
      </c>
      <c r="I71">
        <v>8.3856359999999999</v>
      </c>
      <c r="J71">
        <v>1135.0999999999999</v>
      </c>
      <c r="K71" s="1">
        <f xml:space="preserve"> 1.036*10^8</f>
        <v>103600000</v>
      </c>
      <c r="L71" s="1">
        <f t="shared" si="1"/>
        <v>91269.491674742327</v>
      </c>
    </row>
    <row r="72" spans="1:12" x14ac:dyDescent="0.3">
      <c r="A72">
        <v>728</v>
      </c>
      <c r="B72" t="s">
        <v>299</v>
      </c>
      <c r="C72">
        <v>2015</v>
      </c>
      <c r="D72">
        <v>4.2445490000000001</v>
      </c>
      <c r="E72">
        <v>1553490</v>
      </c>
      <c r="F72">
        <v>28.129950000000001</v>
      </c>
      <c r="G72">
        <v>540078.6</v>
      </c>
      <c r="H72">
        <v>0.3398795</v>
      </c>
      <c r="I72">
        <v>2.7214170000000002</v>
      </c>
      <c r="J72">
        <v>1487.3</v>
      </c>
      <c r="K72" s="1">
        <f xml:space="preserve"> 1.98296*10^8</f>
        <v>198296000</v>
      </c>
      <c r="L72" s="1">
        <f t="shared" si="1"/>
        <v>133326.16150070599</v>
      </c>
    </row>
    <row r="73" spans="1:12" x14ac:dyDescent="0.3">
      <c r="A73">
        <v>1363</v>
      </c>
      <c r="B73" t="s">
        <v>300</v>
      </c>
      <c r="C73">
        <v>2015</v>
      </c>
      <c r="D73">
        <v>2.2394880000000001</v>
      </c>
      <c r="E73">
        <v>2129175</v>
      </c>
      <c r="F73">
        <v>22.50103</v>
      </c>
      <c r="G73">
        <v>664509.1</v>
      </c>
      <c r="H73">
        <v>0.3163398</v>
      </c>
      <c r="I73">
        <v>2.8491789999999999</v>
      </c>
      <c r="J73">
        <v>644.6</v>
      </c>
      <c r="K73" s="1">
        <f xml:space="preserve"> 8.58045*10^7</f>
        <v>85804500.000000015</v>
      </c>
      <c r="L73" s="1">
        <f t="shared" si="1"/>
        <v>133112.78312131556</v>
      </c>
    </row>
    <row r="74" spans="1:12" x14ac:dyDescent="0.3">
      <c r="A74">
        <v>2098</v>
      </c>
      <c r="B74" t="s">
        <v>301</v>
      </c>
      <c r="C74">
        <v>2017</v>
      </c>
      <c r="D74">
        <v>1.9652719999999999</v>
      </c>
      <c r="E74">
        <v>330067</v>
      </c>
      <c r="F74">
        <v>27.58972</v>
      </c>
      <c r="G74">
        <v>54613.78</v>
      </c>
      <c r="H74">
        <v>0.228073</v>
      </c>
      <c r="I74">
        <v>2.7806670000000002</v>
      </c>
      <c r="J74">
        <v>90</v>
      </c>
      <c r="K74" s="1">
        <f xml:space="preserve"> 3.56419*10^7</f>
        <v>35641900</v>
      </c>
      <c r="L74" s="1">
        <f t="shared" si="1"/>
        <v>396021.11111111112</v>
      </c>
    </row>
    <row r="75" spans="1:12" x14ac:dyDescent="0.3">
      <c r="A75">
        <v>2480</v>
      </c>
      <c r="B75" t="s">
        <v>302</v>
      </c>
      <c r="C75">
        <v>2015</v>
      </c>
      <c r="D75">
        <v>3.9083329999999998</v>
      </c>
      <c r="E75">
        <v>214922.2</v>
      </c>
      <c r="F75">
        <v>45.553040000000003</v>
      </c>
      <c r="G75">
        <v>88285.78</v>
      </c>
      <c r="H75">
        <v>0.32992389999999999</v>
      </c>
      <c r="I75">
        <v>2.8633329999999999</v>
      </c>
      <c r="J75">
        <v>386.5</v>
      </c>
      <c r="K75" s="1">
        <f xml:space="preserve"> 2.57431*10^7</f>
        <v>25743100</v>
      </c>
      <c r="L75" s="1">
        <f t="shared" si="1"/>
        <v>66605.692108667528</v>
      </c>
    </row>
    <row r="76" spans="1:12" x14ac:dyDescent="0.3">
      <c r="A76">
        <v>3264</v>
      </c>
      <c r="B76" t="s">
        <v>303</v>
      </c>
      <c r="C76">
        <v>2014</v>
      </c>
      <c r="D76">
        <v>3.8178540000000001</v>
      </c>
      <c r="E76">
        <v>409808.7</v>
      </c>
      <c r="F76">
        <v>26.470680000000002</v>
      </c>
      <c r="G76">
        <v>126387.9</v>
      </c>
      <c r="H76">
        <v>0.31414799999999998</v>
      </c>
      <c r="I76">
        <v>4.4023329999999996</v>
      </c>
      <c r="J76">
        <v>355</v>
      </c>
      <c r="K76" s="1">
        <f xml:space="preserve"> 4.32946*10^7</f>
        <v>43294600</v>
      </c>
      <c r="L76" s="1">
        <f t="shared" si="1"/>
        <v>121956.61971830986</v>
      </c>
    </row>
    <row r="77" spans="1:12" x14ac:dyDescent="0.3">
      <c r="A77">
        <v>3393</v>
      </c>
      <c r="B77" t="s">
        <v>304</v>
      </c>
      <c r="C77">
        <v>2018</v>
      </c>
      <c r="D77">
        <v>1.94133</v>
      </c>
      <c r="E77">
        <v>2567055</v>
      </c>
      <c r="F77">
        <v>27.47738</v>
      </c>
      <c r="G77">
        <v>824278.6</v>
      </c>
      <c r="H77">
        <v>0.32973960000000002</v>
      </c>
      <c r="I77">
        <v>2.843226</v>
      </c>
      <c r="J77">
        <v>990</v>
      </c>
      <c r="K77" s="1">
        <f xml:space="preserve"> 2.09334*10^8</f>
        <v>209334000</v>
      </c>
      <c r="L77" s="1">
        <f t="shared" si="1"/>
        <v>211448.48484848486</v>
      </c>
    </row>
    <row r="78" spans="1:12" x14ac:dyDescent="0.3">
      <c r="A78" s="3">
        <v>50969</v>
      </c>
      <c r="B78" s="3" t="s">
        <v>305</v>
      </c>
      <c r="C78" s="3">
        <v>2018</v>
      </c>
      <c r="D78" s="3">
        <v>1.8855</v>
      </c>
      <c r="E78" s="3">
        <v>95575.51</v>
      </c>
      <c r="F78" s="3">
        <v>28.095759999999999</v>
      </c>
      <c r="G78" s="3">
        <v>32131.94</v>
      </c>
      <c r="H78" s="3">
        <v>0.18457009999999999</v>
      </c>
      <c r="I78" s="3">
        <v>2.5425</v>
      </c>
      <c r="J78" s="3">
        <v>53</v>
      </c>
      <c r="K78" s="4">
        <f xml:space="preserve"> 7.59705*10^6</f>
        <v>7597050</v>
      </c>
      <c r="L78" s="4">
        <f t="shared" si="1"/>
        <v>143340.56603773584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B248-A575-4738-9754-6B41033179E0}">
  <dimension ref="A1:G125"/>
  <sheetViews>
    <sheetView workbookViewId="0">
      <selection activeCell="G2" sqref="G2:G125"/>
    </sheetView>
  </sheetViews>
  <sheetFormatPr defaultRowHeight="14.4" x14ac:dyDescent="0.3"/>
  <cols>
    <col min="1" max="1" width="9.88671875" bestFit="1" customWidth="1"/>
    <col min="2" max="2" width="30.5546875" bestFit="1" customWidth="1"/>
    <col min="3" max="3" width="16.44140625" bestFit="1" customWidth="1"/>
    <col min="4" max="4" width="21.44140625" bestFit="1" customWidth="1"/>
    <col min="5" max="5" width="22.33203125" bestFit="1" customWidth="1"/>
    <col min="6" max="6" width="18.109375" bestFit="1" customWidth="1"/>
    <col min="7" max="7" width="18.6640625" bestFit="1" customWidth="1"/>
  </cols>
  <sheetData>
    <row r="1" spans="1:7" ht="72" x14ac:dyDescent="0.3">
      <c r="A1" s="5" t="s">
        <v>0</v>
      </c>
      <c r="B1" s="5" t="s">
        <v>1</v>
      </c>
      <c r="C1" s="5" t="s">
        <v>456</v>
      </c>
      <c r="D1" s="5" t="s">
        <v>416</v>
      </c>
      <c r="E1" s="5" t="s">
        <v>421</v>
      </c>
      <c r="F1" s="5" t="s">
        <v>454</v>
      </c>
      <c r="G1" s="5" t="s">
        <v>455</v>
      </c>
    </row>
    <row r="2" spans="1:7" x14ac:dyDescent="0.3">
      <c r="A2">
        <v>3</v>
      </c>
      <c r="B2" t="s">
        <v>8</v>
      </c>
      <c r="C2" t="s">
        <v>424</v>
      </c>
      <c r="D2" s="7">
        <v>4.2017369999999996</v>
      </c>
      <c r="E2" s="7">
        <v>27.36271</v>
      </c>
      <c r="F2">
        <v>272</v>
      </c>
      <c r="G2" s="10">
        <v>12000000</v>
      </c>
    </row>
    <row r="3" spans="1:7" x14ac:dyDescent="0.3">
      <c r="A3">
        <v>8</v>
      </c>
      <c r="B3" t="s">
        <v>309</v>
      </c>
      <c r="C3" t="s">
        <v>425</v>
      </c>
      <c r="D3" s="7">
        <v>3.7649430000000002</v>
      </c>
      <c r="E3" s="7">
        <v>27.36271</v>
      </c>
      <c r="F3">
        <v>1416.7</v>
      </c>
      <c r="G3" s="10">
        <v>108000000</v>
      </c>
    </row>
    <row r="4" spans="1:7" x14ac:dyDescent="0.3">
      <c r="A4">
        <v>47</v>
      </c>
      <c r="B4" t="s">
        <v>310</v>
      </c>
      <c r="C4" t="s">
        <v>426</v>
      </c>
      <c r="D4" s="7">
        <v>2.7818360000000002</v>
      </c>
      <c r="E4" s="7">
        <v>27.36271</v>
      </c>
      <c r="F4">
        <v>1350</v>
      </c>
      <c r="G4" s="10">
        <v>109000000</v>
      </c>
    </row>
    <row r="5" spans="1:7" x14ac:dyDescent="0.3">
      <c r="A5">
        <v>50</v>
      </c>
      <c r="B5" t="s">
        <v>311</v>
      </c>
      <c r="C5" t="s">
        <v>427</v>
      </c>
      <c r="D5" s="7">
        <v>2.6118920000000001</v>
      </c>
      <c r="E5" s="7">
        <v>27.36271</v>
      </c>
      <c r="F5">
        <v>1968.6</v>
      </c>
      <c r="G5" s="10">
        <v>245000000</v>
      </c>
    </row>
    <row r="6" spans="1:7" x14ac:dyDescent="0.3">
      <c r="A6">
        <v>113</v>
      </c>
      <c r="B6" t="s">
        <v>13</v>
      </c>
      <c r="C6" t="s">
        <v>424</v>
      </c>
      <c r="D6" s="7">
        <v>2.2791899999999998</v>
      </c>
      <c r="E6" s="7">
        <v>28.018889999999999</v>
      </c>
      <c r="F6">
        <v>288.89999999999998</v>
      </c>
      <c r="G6" s="10">
        <v>0</v>
      </c>
    </row>
    <row r="7" spans="1:7" x14ac:dyDescent="0.3">
      <c r="A7">
        <v>207</v>
      </c>
      <c r="B7" t="s">
        <v>312</v>
      </c>
      <c r="C7" t="s">
        <v>428</v>
      </c>
      <c r="D7" s="7">
        <v>3.48454</v>
      </c>
      <c r="E7" s="7">
        <v>32.50723</v>
      </c>
      <c r="F7">
        <v>1358</v>
      </c>
      <c r="G7" s="10">
        <v>94000000</v>
      </c>
    </row>
    <row r="8" spans="1:7" x14ac:dyDescent="0.3">
      <c r="A8">
        <v>465</v>
      </c>
      <c r="B8" t="s">
        <v>313</v>
      </c>
      <c r="C8" t="s">
        <v>429</v>
      </c>
      <c r="D8" s="7">
        <v>1.634957</v>
      </c>
      <c r="E8" s="7">
        <v>30.070419999999999</v>
      </c>
      <c r="F8">
        <v>152.5</v>
      </c>
      <c r="G8" s="10">
        <v>23500000</v>
      </c>
    </row>
    <row r="9" spans="1:7" x14ac:dyDescent="0.3">
      <c r="A9">
        <v>469</v>
      </c>
      <c r="B9" t="s">
        <v>235</v>
      </c>
      <c r="C9" t="s">
        <v>430</v>
      </c>
      <c r="D9" s="7">
        <v>2.5819200000000002</v>
      </c>
      <c r="E9" s="7">
        <v>30.070419999999999</v>
      </c>
      <c r="F9">
        <v>420.5</v>
      </c>
      <c r="G9" s="10">
        <v>78500000</v>
      </c>
    </row>
    <row r="10" spans="1:7" x14ac:dyDescent="0.3">
      <c r="A10">
        <v>477</v>
      </c>
      <c r="B10" t="s">
        <v>314</v>
      </c>
      <c r="C10" t="s">
        <v>431</v>
      </c>
      <c r="D10" s="7">
        <v>2.8829150000000001</v>
      </c>
      <c r="E10" s="7">
        <v>30.070419999999999</v>
      </c>
      <c r="F10">
        <v>191.7</v>
      </c>
      <c r="G10" s="10">
        <v>3000000</v>
      </c>
    </row>
    <row r="11" spans="1:7" x14ac:dyDescent="0.3">
      <c r="A11">
        <v>492</v>
      </c>
      <c r="B11" t="s">
        <v>315</v>
      </c>
      <c r="C11" t="s">
        <v>426</v>
      </c>
      <c r="D11" s="7">
        <v>1.672464</v>
      </c>
      <c r="E11" s="7">
        <v>30.070419999999999</v>
      </c>
      <c r="F11">
        <v>50</v>
      </c>
      <c r="G11" s="10">
        <v>0</v>
      </c>
    </row>
    <row r="12" spans="1:7" x14ac:dyDescent="0.3">
      <c r="A12">
        <v>527</v>
      </c>
      <c r="B12" t="s">
        <v>316</v>
      </c>
      <c r="C12" t="s">
        <v>432</v>
      </c>
      <c r="D12" s="7">
        <v>3.209203</v>
      </c>
      <c r="E12" s="7">
        <v>30.070419999999999</v>
      </c>
      <c r="F12">
        <v>113.8</v>
      </c>
      <c r="G12" s="10">
        <v>101000000</v>
      </c>
    </row>
    <row r="13" spans="1:7" x14ac:dyDescent="0.3">
      <c r="A13">
        <v>628</v>
      </c>
      <c r="B13" t="s">
        <v>23</v>
      </c>
      <c r="C13" t="s">
        <v>428</v>
      </c>
      <c r="D13" s="7">
        <v>4.5652619999999997</v>
      </c>
      <c r="E13" s="7">
        <v>32.50723</v>
      </c>
      <c r="F13">
        <v>964.3</v>
      </c>
      <c r="G13" s="10">
        <v>0</v>
      </c>
    </row>
    <row r="14" spans="1:7" x14ac:dyDescent="0.3">
      <c r="A14">
        <v>643</v>
      </c>
      <c r="B14" t="s">
        <v>317</v>
      </c>
      <c r="C14" t="s">
        <v>426</v>
      </c>
      <c r="D14" s="7">
        <v>4.5592940000000004</v>
      </c>
      <c r="E14" s="7">
        <v>32.50723</v>
      </c>
      <c r="F14">
        <v>340</v>
      </c>
      <c r="G14" s="10">
        <v>31500000</v>
      </c>
    </row>
    <row r="15" spans="1:7" x14ac:dyDescent="0.3">
      <c r="A15">
        <v>708</v>
      </c>
      <c r="B15" t="s">
        <v>318</v>
      </c>
      <c r="C15" t="s">
        <v>432</v>
      </c>
      <c r="D15" s="7">
        <v>3.7921390000000001</v>
      </c>
      <c r="E15" s="7">
        <v>26.69661</v>
      </c>
      <c r="F15">
        <v>953</v>
      </c>
      <c r="G15" s="10">
        <v>96500000</v>
      </c>
    </row>
    <row r="16" spans="1:7" x14ac:dyDescent="0.3">
      <c r="A16">
        <v>709</v>
      </c>
      <c r="B16" t="s">
        <v>319</v>
      </c>
      <c r="C16" t="s">
        <v>427</v>
      </c>
      <c r="D16" s="7">
        <v>4.3391919999999997</v>
      </c>
      <c r="E16" s="7">
        <v>26.69661</v>
      </c>
      <c r="F16">
        <v>1746.2</v>
      </c>
      <c r="G16" s="10">
        <v>160500000</v>
      </c>
    </row>
    <row r="17" spans="1:7" x14ac:dyDescent="0.3">
      <c r="A17">
        <v>710</v>
      </c>
      <c r="B17" t="s">
        <v>320</v>
      </c>
      <c r="C17" t="s">
        <v>433</v>
      </c>
      <c r="D17" s="7">
        <v>5.2911450000000002</v>
      </c>
      <c r="E17" s="7">
        <v>26.69661</v>
      </c>
      <c r="F17">
        <v>598.4</v>
      </c>
      <c r="G17" s="10">
        <v>97500000</v>
      </c>
    </row>
    <row r="18" spans="1:7" x14ac:dyDescent="0.3">
      <c r="A18">
        <v>728</v>
      </c>
      <c r="B18" t="s">
        <v>299</v>
      </c>
      <c r="C18" t="s">
        <v>424</v>
      </c>
      <c r="D18" s="7">
        <v>4.0724270000000002</v>
      </c>
      <c r="E18" s="7">
        <v>26.69661</v>
      </c>
      <c r="F18">
        <v>679.9</v>
      </c>
      <c r="G18" s="10">
        <v>107500000</v>
      </c>
    </row>
    <row r="19" spans="1:7" x14ac:dyDescent="0.3">
      <c r="A19">
        <v>733</v>
      </c>
      <c r="B19" t="s">
        <v>321</v>
      </c>
      <c r="C19" t="s">
        <v>424</v>
      </c>
      <c r="D19" s="7">
        <v>4.4573840000000002</v>
      </c>
      <c r="E19" s="7">
        <v>26.69661</v>
      </c>
      <c r="F19">
        <v>207.9</v>
      </c>
      <c r="G19" s="10">
        <v>21000000</v>
      </c>
    </row>
    <row r="20" spans="1:7" x14ac:dyDescent="0.3">
      <c r="A20">
        <v>861</v>
      </c>
      <c r="B20" t="s">
        <v>322</v>
      </c>
      <c r="C20" t="s">
        <v>432</v>
      </c>
      <c r="D20" s="7">
        <v>1.958637</v>
      </c>
      <c r="E20" s="7">
        <v>26.63785</v>
      </c>
      <c r="F20">
        <v>1005.4</v>
      </c>
      <c r="G20" s="10">
        <v>0</v>
      </c>
    </row>
    <row r="21" spans="1:7" x14ac:dyDescent="0.3">
      <c r="A21">
        <v>867</v>
      </c>
      <c r="B21" t="s">
        <v>323</v>
      </c>
      <c r="C21" t="s">
        <v>434</v>
      </c>
      <c r="D21" s="7">
        <v>1.958637</v>
      </c>
      <c r="E21" s="7">
        <v>26.63785</v>
      </c>
      <c r="F21">
        <v>597.4</v>
      </c>
      <c r="G21" s="10">
        <v>17000000</v>
      </c>
    </row>
    <row r="22" spans="1:7" x14ac:dyDescent="0.3">
      <c r="A22">
        <v>884</v>
      </c>
      <c r="B22" t="s">
        <v>324</v>
      </c>
      <c r="C22" t="s">
        <v>435</v>
      </c>
      <c r="D22" s="7">
        <v>1.958637</v>
      </c>
      <c r="E22" s="7">
        <v>26.63785</v>
      </c>
      <c r="F22">
        <v>670.4</v>
      </c>
      <c r="G22" s="10">
        <v>70000000</v>
      </c>
    </row>
    <row r="23" spans="1:7" x14ac:dyDescent="0.3">
      <c r="A23">
        <v>886</v>
      </c>
      <c r="B23" t="s">
        <v>325</v>
      </c>
      <c r="C23" t="s">
        <v>434</v>
      </c>
      <c r="D23" s="7">
        <v>1.958637</v>
      </c>
      <c r="E23" s="7">
        <v>26.63785</v>
      </c>
      <c r="F23">
        <v>374</v>
      </c>
      <c r="G23" s="10">
        <v>18500000</v>
      </c>
    </row>
    <row r="24" spans="1:7" x14ac:dyDescent="0.3">
      <c r="A24">
        <v>891</v>
      </c>
      <c r="B24" t="s">
        <v>326</v>
      </c>
      <c r="C24" t="s">
        <v>432</v>
      </c>
      <c r="D24" s="7">
        <v>1.958637</v>
      </c>
      <c r="E24" s="7">
        <v>26.63785</v>
      </c>
      <c r="F24">
        <v>488</v>
      </c>
      <c r="G24" s="10">
        <v>0</v>
      </c>
    </row>
    <row r="25" spans="1:7" x14ac:dyDescent="0.3">
      <c r="A25">
        <v>892</v>
      </c>
      <c r="B25" t="s">
        <v>327</v>
      </c>
      <c r="C25" t="s">
        <v>432</v>
      </c>
      <c r="D25" s="7">
        <v>1.958637</v>
      </c>
      <c r="E25" s="7">
        <v>26.63785</v>
      </c>
      <c r="F25">
        <v>306.3</v>
      </c>
      <c r="G25" s="10">
        <v>500000</v>
      </c>
    </row>
    <row r="26" spans="1:7" x14ac:dyDescent="0.3">
      <c r="A26">
        <v>897</v>
      </c>
      <c r="B26" t="s">
        <v>328</v>
      </c>
      <c r="C26" t="s">
        <v>436</v>
      </c>
      <c r="D26" s="7">
        <v>1.958637</v>
      </c>
      <c r="E26" s="7">
        <v>26.63785</v>
      </c>
      <c r="F26">
        <v>182.3</v>
      </c>
      <c r="G26" s="10">
        <v>35000000</v>
      </c>
    </row>
    <row r="27" spans="1:7" x14ac:dyDescent="0.3">
      <c r="A27">
        <v>898</v>
      </c>
      <c r="B27" t="s">
        <v>329</v>
      </c>
      <c r="C27" t="s">
        <v>426</v>
      </c>
      <c r="D27" s="7">
        <v>1.958637</v>
      </c>
      <c r="E27" s="7">
        <v>26.63785</v>
      </c>
      <c r="F27">
        <v>500.1</v>
      </c>
      <c r="G27" s="10">
        <v>6000000</v>
      </c>
    </row>
    <row r="28" spans="1:7" x14ac:dyDescent="0.3">
      <c r="A28">
        <v>988</v>
      </c>
      <c r="B28" t="s">
        <v>330</v>
      </c>
      <c r="C28" t="s">
        <v>424</v>
      </c>
      <c r="D28" s="7">
        <v>2.6753849999999999</v>
      </c>
      <c r="E28" s="7">
        <v>83.111999999999995</v>
      </c>
      <c r="F28">
        <v>1100.0999999999999</v>
      </c>
      <c r="G28" s="10">
        <v>18000000</v>
      </c>
    </row>
    <row r="29" spans="1:7" x14ac:dyDescent="0.3">
      <c r="A29">
        <v>991</v>
      </c>
      <c r="B29" t="s">
        <v>331</v>
      </c>
      <c r="C29" t="s">
        <v>426</v>
      </c>
      <c r="D29" s="7">
        <v>2.5298319999999999</v>
      </c>
      <c r="E29" s="7">
        <v>83.111999999999995</v>
      </c>
      <c r="F29">
        <v>301.60000000000002</v>
      </c>
      <c r="G29" s="10">
        <v>0</v>
      </c>
    </row>
    <row r="30" spans="1:7" x14ac:dyDescent="0.3">
      <c r="A30">
        <v>995</v>
      </c>
      <c r="B30" t="s">
        <v>332</v>
      </c>
      <c r="C30" t="s">
        <v>428</v>
      </c>
      <c r="D30" s="7">
        <v>2.2351239999999999</v>
      </c>
      <c r="E30" s="7">
        <v>83.111999999999995</v>
      </c>
      <c r="F30">
        <v>603.5</v>
      </c>
      <c r="G30" s="10">
        <v>11500000</v>
      </c>
    </row>
    <row r="31" spans="1:7" x14ac:dyDescent="0.3">
      <c r="A31">
        <v>1004</v>
      </c>
      <c r="B31" t="s">
        <v>35</v>
      </c>
      <c r="C31" t="s">
        <v>436</v>
      </c>
      <c r="D31" s="7">
        <v>2.31053</v>
      </c>
      <c r="E31" s="7">
        <v>83.111999999999995</v>
      </c>
      <c r="F31">
        <v>109.2</v>
      </c>
      <c r="G31" s="10">
        <v>11000000</v>
      </c>
    </row>
    <row r="32" spans="1:7" x14ac:dyDescent="0.3">
      <c r="A32">
        <v>1008</v>
      </c>
      <c r="B32" t="s">
        <v>333</v>
      </c>
      <c r="C32" t="s">
        <v>434</v>
      </c>
      <c r="D32" s="7">
        <v>3.0446780000000002</v>
      </c>
      <c r="E32" s="7">
        <v>83.111999999999995</v>
      </c>
      <c r="F32">
        <v>300</v>
      </c>
      <c r="G32" s="10">
        <v>58000000</v>
      </c>
    </row>
    <row r="33" spans="1:7" x14ac:dyDescent="0.3">
      <c r="A33">
        <v>1010</v>
      </c>
      <c r="B33" t="s">
        <v>334</v>
      </c>
      <c r="C33" t="s">
        <v>426</v>
      </c>
      <c r="D33" s="7">
        <v>2.5727039999999999</v>
      </c>
      <c r="E33" s="7">
        <v>83.111999999999995</v>
      </c>
      <c r="F33">
        <v>860.2</v>
      </c>
      <c r="G33" s="10">
        <v>13500000</v>
      </c>
    </row>
    <row r="34" spans="1:7" x14ac:dyDescent="0.3">
      <c r="A34">
        <v>1043</v>
      </c>
      <c r="B34" t="s">
        <v>335</v>
      </c>
      <c r="C34" t="s">
        <v>424</v>
      </c>
      <c r="D34" s="7">
        <v>2.493601</v>
      </c>
      <c r="E34" s="7">
        <v>83.111999999999995</v>
      </c>
      <c r="F34">
        <v>233.2</v>
      </c>
      <c r="G34" s="10">
        <v>0</v>
      </c>
    </row>
    <row r="35" spans="1:7" x14ac:dyDescent="0.3">
      <c r="A35">
        <v>1047</v>
      </c>
      <c r="B35" t="s">
        <v>38</v>
      </c>
      <c r="C35" t="s">
        <v>429</v>
      </c>
      <c r="D35" s="7">
        <v>1.687438</v>
      </c>
      <c r="E35" s="7">
        <v>22.522449999999999</v>
      </c>
      <c r="F35">
        <v>37.5</v>
      </c>
      <c r="G35" s="10">
        <v>10500000</v>
      </c>
    </row>
    <row r="36" spans="1:7" x14ac:dyDescent="0.3">
      <c r="A36">
        <v>1081</v>
      </c>
      <c r="B36" t="s">
        <v>243</v>
      </c>
      <c r="C36" t="s">
        <v>429</v>
      </c>
      <c r="D36" s="7">
        <v>1.7819719999999999</v>
      </c>
      <c r="E36" s="7">
        <v>22.522449999999999</v>
      </c>
      <c r="F36">
        <v>5</v>
      </c>
      <c r="G36" s="10">
        <v>14000000</v>
      </c>
    </row>
    <row r="37" spans="1:7" x14ac:dyDescent="0.3">
      <c r="A37">
        <v>1082</v>
      </c>
      <c r="B37" t="s">
        <v>40</v>
      </c>
      <c r="C37" t="s">
        <v>424</v>
      </c>
      <c r="D37" s="7">
        <v>1.348508</v>
      </c>
      <c r="E37" s="7">
        <v>22.522449999999999</v>
      </c>
      <c r="F37">
        <v>130.6</v>
      </c>
      <c r="G37" s="10">
        <v>10500000</v>
      </c>
    </row>
    <row r="38" spans="1:7" x14ac:dyDescent="0.3">
      <c r="A38">
        <v>1091</v>
      </c>
      <c r="B38" t="s">
        <v>41</v>
      </c>
      <c r="C38" t="s">
        <v>426</v>
      </c>
      <c r="D38" s="7">
        <v>1.837145</v>
      </c>
      <c r="E38" s="7">
        <v>22.522449999999999</v>
      </c>
      <c r="F38">
        <v>496.2</v>
      </c>
      <c r="G38" s="10">
        <v>2000000</v>
      </c>
    </row>
    <row r="39" spans="1:7" x14ac:dyDescent="0.3">
      <c r="A39">
        <v>1250</v>
      </c>
      <c r="B39" t="s">
        <v>44</v>
      </c>
      <c r="C39" t="s">
        <v>424</v>
      </c>
      <c r="D39" s="7">
        <v>1.769909</v>
      </c>
      <c r="E39" s="7">
        <v>28.258389999999999</v>
      </c>
      <c r="F39">
        <v>49</v>
      </c>
      <c r="G39" s="10">
        <v>0</v>
      </c>
    </row>
    <row r="40" spans="1:7" x14ac:dyDescent="0.3">
      <c r="A40">
        <v>1252</v>
      </c>
      <c r="B40" t="s">
        <v>336</v>
      </c>
      <c r="C40" t="s">
        <v>437</v>
      </c>
      <c r="D40" s="7">
        <v>1.706752</v>
      </c>
      <c r="E40" s="7">
        <v>28.258389999999999</v>
      </c>
      <c r="F40">
        <v>232</v>
      </c>
      <c r="G40" s="10">
        <v>0</v>
      </c>
    </row>
    <row r="41" spans="1:7" x14ac:dyDescent="0.3">
      <c r="A41">
        <v>1353</v>
      </c>
      <c r="B41" t="s">
        <v>249</v>
      </c>
      <c r="C41" t="s">
        <v>424</v>
      </c>
      <c r="D41" s="7">
        <v>2.8497159999999999</v>
      </c>
      <c r="E41" s="7">
        <v>27.244959999999999</v>
      </c>
      <c r="F41">
        <v>816.3</v>
      </c>
      <c r="G41" s="10">
        <v>64500000</v>
      </c>
    </row>
    <row r="42" spans="1:7" x14ac:dyDescent="0.3">
      <c r="A42">
        <v>1355</v>
      </c>
      <c r="B42" t="s">
        <v>45</v>
      </c>
      <c r="C42" t="s">
        <v>432</v>
      </c>
      <c r="D42" s="7">
        <v>2.574481</v>
      </c>
      <c r="E42" s="7">
        <v>27.244959999999999</v>
      </c>
      <c r="F42">
        <v>293.10000000000002</v>
      </c>
      <c r="G42" s="10">
        <v>2000000</v>
      </c>
    </row>
    <row r="43" spans="1:7" x14ac:dyDescent="0.3">
      <c r="A43">
        <v>1357</v>
      </c>
      <c r="B43" t="s">
        <v>337</v>
      </c>
      <c r="C43" t="s">
        <v>424</v>
      </c>
      <c r="D43" s="7">
        <v>2.4688669999999999</v>
      </c>
      <c r="E43" s="7">
        <v>27.244959999999999</v>
      </c>
      <c r="F43">
        <v>188.6</v>
      </c>
      <c r="G43" s="10">
        <v>34000000</v>
      </c>
    </row>
    <row r="44" spans="1:7" x14ac:dyDescent="0.3">
      <c r="A44">
        <v>1363</v>
      </c>
      <c r="B44" t="s">
        <v>300</v>
      </c>
      <c r="C44" t="s">
        <v>424</v>
      </c>
      <c r="D44" s="7">
        <v>2.1704240000000001</v>
      </c>
      <c r="E44" s="7">
        <v>27.244959999999999</v>
      </c>
      <c r="F44">
        <v>644.6</v>
      </c>
      <c r="G44" s="10">
        <v>86500000</v>
      </c>
    </row>
    <row r="45" spans="1:7" x14ac:dyDescent="0.3">
      <c r="A45">
        <v>1378</v>
      </c>
      <c r="B45" t="s">
        <v>338</v>
      </c>
      <c r="C45" t="s">
        <v>431</v>
      </c>
      <c r="D45" s="7">
        <v>2.2246480000000002</v>
      </c>
      <c r="E45" s="7">
        <v>27.244959999999999</v>
      </c>
      <c r="F45">
        <v>1408</v>
      </c>
      <c r="G45" s="10">
        <v>0</v>
      </c>
    </row>
    <row r="46" spans="1:7" x14ac:dyDescent="0.3">
      <c r="A46">
        <v>1379</v>
      </c>
      <c r="B46" t="s">
        <v>48</v>
      </c>
      <c r="C46" t="s">
        <v>438</v>
      </c>
      <c r="D46" s="7">
        <v>2.0527600000000001</v>
      </c>
      <c r="E46" s="7">
        <v>27.244959999999999</v>
      </c>
      <c r="F46">
        <v>175</v>
      </c>
      <c r="G46" s="10">
        <v>20000000</v>
      </c>
    </row>
    <row r="47" spans="1:7" x14ac:dyDescent="0.3">
      <c r="A47">
        <v>1382</v>
      </c>
      <c r="B47" t="s">
        <v>339</v>
      </c>
      <c r="C47" t="s">
        <v>432</v>
      </c>
      <c r="D47" s="7">
        <v>2.312322</v>
      </c>
      <c r="E47" s="7">
        <v>27.244959999999999</v>
      </c>
      <c r="F47">
        <v>405</v>
      </c>
      <c r="G47" s="10">
        <v>0</v>
      </c>
    </row>
    <row r="48" spans="1:7" x14ac:dyDescent="0.3">
      <c r="A48">
        <v>1385</v>
      </c>
      <c r="B48" t="s">
        <v>340</v>
      </c>
      <c r="C48" t="s">
        <v>439</v>
      </c>
      <c r="D48" s="7">
        <v>2.998183</v>
      </c>
      <c r="E48" s="7">
        <v>27.244959999999999</v>
      </c>
      <c r="F48">
        <v>216</v>
      </c>
      <c r="G48" s="10">
        <v>16000000</v>
      </c>
    </row>
    <row r="49" spans="1:7" x14ac:dyDescent="0.3">
      <c r="A49">
        <v>1695</v>
      </c>
      <c r="B49" t="s">
        <v>341</v>
      </c>
      <c r="C49" t="s">
        <v>426</v>
      </c>
      <c r="D49" s="7">
        <v>2.6285919999999998</v>
      </c>
      <c r="E49" s="7">
        <v>37.475929999999998</v>
      </c>
      <c r="F49">
        <v>312.60000000000002</v>
      </c>
      <c r="G49" s="10">
        <v>0</v>
      </c>
    </row>
    <row r="50" spans="1:7" x14ac:dyDescent="0.3">
      <c r="A50">
        <v>1720</v>
      </c>
      <c r="B50" t="s">
        <v>342</v>
      </c>
      <c r="C50" t="s">
        <v>426</v>
      </c>
      <c r="D50" s="7">
        <v>2.9462429999999999</v>
      </c>
      <c r="E50" s="7">
        <v>37.475929999999998</v>
      </c>
      <c r="F50">
        <v>312.60000000000002</v>
      </c>
      <c r="G50" s="10">
        <v>0</v>
      </c>
    </row>
    <row r="51" spans="1:7" x14ac:dyDescent="0.3">
      <c r="A51">
        <v>1723</v>
      </c>
      <c r="B51" t="s">
        <v>343</v>
      </c>
      <c r="C51" t="s">
        <v>426</v>
      </c>
      <c r="D51" s="7">
        <v>2.7306029999999999</v>
      </c>
      <c r="E51" s="7">
        <v>37.475929999999998</v>
      </c>
      <c r="F51">
        <v>345.4</v>
      </c>
      <c r="G51" s="10">
        <v>2500000</v>
      </c>
    </row>
    <row r="52" spans="1:7" x14ac:dyDescent="0.3">
      <c r="A52">
        <v>1731</v>
      </c>
      <c r="B52" t="s">
        <v>344</v>
      </c>
      <c r="C52" t="s">
        <v>429</v>
      </c>
      <c r="D52" s="7">
        <v>3.0356679999999998</v>
      </c>
      <c r="E52" s="7">
        <v>37.475929999999998</v>
      </c>
      <c r="F52">
        <v>121</v>
      </c>
      <c r="G52" s="10">
        <v>0</v>
      </c>
    </row>
    <row r="53" spans="1:7" x14ac:dyDescent="0.3">
      <c r="A53">
        <v>1740</v>
      </c>
      <c r="B53" t="s">
        <v>345</v>
      </c>
      <c r="C53" t="s">
        <v>426</v>
      </c>
      <c r="D53" s="7">
        <v>2.4788290000000002</v>
      </c>
      <c r="E53" s="7">
        <v>37.475929999999998</v>
      </c>
      <c r="F53">
        <v>292.5</v>
      </c>
      <c r="G53" s="10">
        <v>0</v>
      </c>
    </row>
    <row r="54" spans="1:7" x14ac:dyDescent="0.3">
      <c r="A54">
        <v>1743</v>
      </c>
      <c r="B54" t="s">
        <v>346</v>
      </c>
      <c r="C54" t="s">
        <v>440</v>
      </c>
      <c r="D54" s="7">
        <v>2.6964030000000001</v>
      </c>
      <c r="E54" s="7">
        <v>37.475929999999998</v>
      </c>
      <c r="F54">
        <v>337.4</v>
      </c>
      <c r="G54" s="10">
        <v>0</v>
      </c>
    </row>
    <row r="55" spans="1:7" x14ac:dyDescent="0.3">
      <c r="A55">
        <v>1745</v>
      </c>
      <c r="B55" t="s">
        <v>347</v>
      </c>
      <c r="C55" t="s">
        <v>439</v>
      </c>
      <c r="D55" s="7">
        <v>2.3681489999999998</v>
      </c>
      <c r="E55" s="7">
        <v>37.475929999999998</v>
      </c>
      <c r="F55">
        <v>240</v>
      </c>
      <c r="G55" s="10">
        <v>0</v>
      </c>
    </row>
    <row r="56" spans="1:7" x14ac:dyDescent="0.3">
      <c r="A56">
        <v>1769</v>
      </c>
      <c r="B56" t="s">
        <v>348</v>
      </c>
      <c r="C56" t="s">
        <v>441</v>
      </c>
      <c r="D56" s="7">
        <v>2.4511440000000002</v>
      </c>
      <c r="E56" s="7">
        <v>37.475929999999998</v>
      </c>
      <c r="F56">
        <v>562.20000000000005</v>
      </c>
      <c r="G56" s="10">
        <v>62000000</v>
      </c>
    </row>
    <row r="57" spans="1:7" x14ac:dyDescent="0.3">
      <c r="A57">
        <v>1831</v>
      </c>
      <c r="B57" t="s">
        <v>349</v>
      </c>
      <c r="C57" t="s">
        <v>442</v>
      </c>
      <c r="D57" s="7">
        <v>2.3532310000000001</v>
      </c>
      <c r="E57" s="7">
        <v>37.475929999999998</v>
      </c>
      <c r="F57">
        <v>135</v>
      </c>
      <c r="G57" s="10">
        <v>0</v>
      </c>
    </row>
    <row r="58" spans="1:7" x14ac:dyDescent="0.3">
      <c r="A58">
        <v>1893</v>
      </c>
      <c r="B58" t="s">
        <v>53</v>
      </c>
      <c r="C58" t="s">
        <v>428</v>
      </c>
      <c r="D58" s="7">
        <v>1.9469730000000001</v>
      </c>
      <c r="E58" s="7">
        <v>29.532340000000001</v>
      </c>
      <c r="F58">
        <v>150</v>
      </c>
      <c r="G58" s="10">
        <v>0</v>
      </c>
    </row>
    <row r="59" spans="1:7" x14ac:dyDescent="0.3">
      <c r="A59">
        <v>1904</v>
      </c>
      <c r="B59" t="s">
        <v>350</v>
      </c>
      <c r="C59" t="s">
        <v>424</v>
      </c>
      <c r="D59" s="7">
        <v>1.950915</v>
      </c>
      <c r="E59" s="7">
        <v>29.532340000000001</v>
      </c>
      <c r="F59">
        <v>276.8</v>
      </c>
      <c r="G59" s="10">
        <v>19000000</v>
      </c>
    </row>
    <row r="60" spans="1:7" x14ac:dyDescent="0.3">
      <c r="A60">
        <v>2076</v>
      </c>
      <c r="B60" t="s">
        <v>351</v>
      </c>
      <c r="C60" t="s">
        <v>429</v>
      </c>
      <c r="D60" s="7">
        <v>2.2940749999999999</v>
      </c>
      <c r="E60" s="7">
        <v>24.504280000000001</v>
      </c>
      <c r="F60">
        <v>18.7</v>
      </c>
      <c r="G60" s="10">
        <v>7000000</v>
      </c>
    </row>
    <row r="61" spans="1:7" x14ac:dyDescent="0.3">
      <c r="A61">
        <v>2080</v>
      </c>
      <c r="B61" t="s">
        <v>352</v>
      </c>
      <c r="C61" t="s">
        <v>443</v>
      </c>
      <c r="D61" s="7">
        <v>1.8991199999999999</v>
      </c>
      <c r="E61" s="7">
        <v>24.504280000000001</v>
      </c>
      <c r="F61">
        <v>564</v>
      </c>
      <c r="G61" s="10">
        <v>0</v>
      </c>
    </row>
    <row r="62" spans="1:7" x14ac:dyDescent="0.3">
      <c r="A62">
        <v>2094</v>
      </c>
      <c r="B62" t="s">
        <v>353</v>
      </c>
      <c r="C62" t="s">
        <v>444</v>
      </c>
      <c r="D62" s="7">
        <v>1.872849</v>
      </c>
      <c r="E62" s="7">
        <v>24.504280000000001</v>
      </c>
      <c r="F62">
        <v>524</v>
      </c>
      <c r="G62" s="10">
        <v>0</v>
      </c>
    </row>
    <row r="63" spans="1:7" x14ac:dyDescent="0.3">
      <c r="A63">
        <v>2161</v>
      </c>
      <c r="B63" t="s">
        <v>354</v>
      </c>
      <c r="C63" t="s">
        <v>431</v>
      </c>
      <c r="D63" s="7">
        <v>2.4176760000000002</v>
      </c>
      <c r="E63" s="7">
        <v>24.504280000000001</v>
      </c>
      <c r="F63">
        <v>88</v>
      </c>
      <c r="G63" s="10">
        <v>16500000</v>
      </c>
    </row>
    <row r="64" spans="1:7" x14ac:dyDescent="0.3">
      <c r="A64">
        <v>2187</v>
      </c>
      <c r="B64" t="s">
        <v>355</v>
      </c>
      <c r="C64" t="s">
        <v>424</v>
      </c>
      <c r="D64" s="7">
        <v>1.847316</v>
      </c>
      <c r="E64" s="7">
        <v>24.457229999999999</v>
      </c>
      <c r="F64">
        <v>172.8</v>
      </c>
      <c r="G64" s="10">
        <v>0</v>
      </c>
    </row>
    <row r="65" spans="1:7" x14ac:dyDescent="0.3">
      <c r="A65">
        <v>2324</v>
      </c>
      <c r="B65" t="s">
        <v>356</v>
      </c>
      <c r="C65" t="s">
        <v>445</v>
      </c>
      <c r="D65" s="7">
        <v>2.5908129999999998</v>
      </c>
      <c r="E65" s="7">
        <v>26.415420000000001</v>
      </c>
      <c r="F65">
        <v>636.79999999999995</v>
      </c>
      <c r="G65" s="10">
        <v>113000000</v>
      </c>
    </row>
    <row r="66" spans="1:7" x14ac:dyDescent="0.3">
      <c r="A66">
        <v>2451</v>
      </c>
      <c r="B66" t="s">
        <v>357</v>
      </c>
      <c r="C66" t="s">
        <v>431</v>
      </c>
      <c r="D66" s="7">
        <v>2.345129</v>
      </c>
      <c r="E66" s="7">
        <v>24.507449999999999</v>
      </c>
      <c r="F66">
        <v>924</v>
      </c>
      <c r="G66" s="10">
        <v>56500000</v>
      </c>
    </row>
    <row r="67" spans="1:7" x14ac:dyDescent="0.3">
      <c r="A67">
        <v>2527</v>
      </c>
      <c r="B67" t="s">
        <v>358</v>
      </c>
      <c r="C67" t="s">
        <v>446</v>
      </c>
      <c r="D67" s="7">
        <v>3.7212049999999999</v>
      </c>
      <c r="E67" s="7">
        <v>44.626350000000002</v>
      </c>
      <c r="F67">
        <v>50</v>
      </c>
      <c r="G67" s="10">
        <v>8000000</v>
      </c>
    </row>
    <row r="68" spans="1:7" x14ac:dyDescent="0.3">
      <c r="A68">
        <v>2642</v>
      </c>
      <c r="B68" t="s">
        <v>359</v>
      </c>
      <c r="C68" t="s">
        <v>447</v>
      </c>
      <c r="D68" s="7">
        <v>3.7212049999999999</v>
      </c>
      <c r="E68" s="7">
        <v>44.626350000000002</v>
      </c>
      <c r="F68">
        <v>252.6</v>
      </c>
      <c r="G68" s="10">
        <v>79500000</v>
      </c>
    </row>
    <row r="69" spans="1:7" x14ac:dyDescent="0.3">
      <c r="A69">
        <v>2708</v>
      </c>
      <c r="B69" t="s">
        <v>360</v>
      </c>
      <c r="C69" t="s">
        <v>434</v>
      </c>
      <c r="D69" s="7">
        <v>3.7708460000000001</v>
      </c>
      <c r="E69" s="7">
        <v>27.925329999999999</v>
      </c>
      <c r="F69">
        <v>328.5</v>
      </c>
      <c r="G69" s="10">
        <v>68500000</v>
      </c>
    </row>
    <row r="70" spans="1:7" x14ac:dyDescent="0.3">
      <c r="A70">
        <v>2709</v>
      </c>
      <c r="B70" t="s">
        <v>361</v>
      </c>
      <c r="C70" t="s">
        <v>434</v>
      </c>
      <c r="D70" s="7">
        <v>3.9197679999999999</v>
      </c>
      <c r="E70" s="7">
        <v>27.925329999999999</v>
      </c>
      <c r="F70">
        <v>402.4</v>
      </c>
      <c r="G70" s="10">
        <v>24500000</v>
      </c>
    </row>
    <row r="71" spans="1:7" x14ac:dyDescent="0.3">
      <c r="A71">
        <v>2713</v>
      </c>
      <c r="B71" t="s">
        <v>362</v>
      </c>
      <c r="C71" t="s">
        <v>429</v>
      </c>
      <c r="D71" s="7">
        <v>4.2952859999999999</v>
      </c>
      <c r="E71" s="7">
        <v>27.925329999999999</v>
      </c>
      <c r="F71">
        <v>671.6</v>
      </c>
      <c r="G71" s="10">
        <v>55500000</v>
      </c>
    </row>
    <row r="72" spans="1:7" x14ac:dyDescent="0.3">
      <c r="A72">
        <v>2716</v>
      </c>
      <c r="B72" t="s">
        <v>363</v>
      </c>
      <c r="C72" t="s">
        <v>436</v>
      </c>
      <c r="D72" s="7">
        <v>3.968737</v>
      </c>
      <c r="E72" s="7">
        <v>27.925329999999999</v>
      </c>
      <c r="F72">
        <v>165.5</v>
      </c>
      <c r="G72" s="10">
        <v>28500000</v>
      </c>
    </row>
    <row r="73" spans="1:7" x14ac:dyDescent="0.3">
      <c r="A73">
        <v>2720</v>
      </c>
      <c r="B73" t="s">
        <v>364</v>
      </c>
      <c r="C73" t="s">
        <v>448</v>
      </c>
      <c r="D73" s="7">
        <v>3.6999719999999998</v>
      </c>
      <c r="E73" s="7">
        <v>27.925329999999999</v>
      </c>
      <c r="F73">
        <v>370</v>
      </c>
      <c r="G73" s="10">
        <v>56000000</v>
      </c>
    </row>
    <row r="74" spans="1:7" x14ac:dyDescent="0.3">
      <c r="A74">
        <v>2721</v>
      </c>
      <c r="B74" t="s">
        <v>256</v>
      </c>
      <c r="C74" t="s">
        <v>436</v>
      </c>
      <c r="D74" s="7">
        <v>3.7699579999999999</v>
      </c>
      <c r="E74" s="7">
        <v>27.925329999999999</v>
      </c>
      <c r="F74">
        <v>210</v>
      </c>
      <c r="G74" s="10">
        <v>30000000</v>
      </c>
    </row>
    <row r="75" spans="1:7" x14ac:dyDescent="0.3">
      <c r="A75">
        <v>2732</v>
      </c>
      <c r="B75" t="s">
        <v>365</v>
      </c>
      <c r="C75" t="s">
        <v>429</v>
      </c>
      <c r="D75" s="7">
        <v>3.6627260000000001</v>
      </c>
      <c r="E75" s="7">
        <v>27.925329999999999</v>
      </c>
      <c r="F75">
        <v>466</v>
      </c>
      <c r="G75" s="10">
        <v>68000000</v>
      </c>
    </row>
    <row r="76" spans="1:7" x14ac:dyDescent="0.3">
      <c r="A76">
        <v>2824</v>
      </c>
      <c r="B76" t="s">
        <v>366</v>
      </c>
      <c r="C76" t="s">
        <v>431</v>
      </c>
      <c r="D76" s="7">
        <v>1.5644670000000001</v>
      </c>
      <c r="E76" s="7">
        <v>21.978249999999999</v>
      </c>
      <c r="F76">
        <v>190.2</v>
      </c>
      <c r="G76" s="10">
        <v>0</v>
      </c>
    </row>
    <row r="77" spans="1:7" x14ac:dyDescent="0.3">
      <c r="A77">
        <v>2830</v>
      </c>
      <c r="B77" t="s">
        <v>367</v>
      </c>
      <c r="C77" t="s">
        <v>449</v>
      </c>
      <c r="D77" s="7">
        <v>2.4470869999999998</v>
      </c>
      <c r="E77" s="7">
        <v>30.72579</v>
      </c>
      <c r="F77">
        <v>1221.3</v>
      </c>
      <c r="G77" s="10">
        <v>188500000</v>
      </c>
    </row>
    <row r="78" spans="1:7" x14ac:dyDescent="0.3">
      <c r="A78">
        <v>2832</v>
      </c>
      <c r="B78" t="s">
        <v>72</v>
      </c>
      <c r="C78" t="s">
        <v>424</v>
      </c>
      <c r="D78" s="7">
        <v>2.3112170000000001</v>
      </c>
      <c r="E78" s="7">
        <v>30.72579</v>
      </c>
      <c r="F78">
        <v>163.19999999999999</v>
      </c>
      <c r="G78" s="10">
        <v>0</v>
      </c>
    </row>
    <row r="79" spans="1:7" x14ac:dyDescent="0.3">
      <c r="A79">
        <v>2848</v>
      </c>
      <c r="B79" t="s">
        <v>368</v>
      </c>
      <c r="C79" t="s">
        <v>427</v>
      </c>
      <c r="D79" s="7">
        <v>5.5010070000000004</v>
      </c>
      <c r="E79" s="7">
        <v>30.72579</v>
      </c>
      <c r="F79">
        <v>414</v>
      </c>
      <c r="G79" s="10">
        <v>17500000</v>
      </c>
    </row>
    <row r="80" spans="1:7" x14ac:dyDescent="0.3">
      <c r="A80">
        <v>2861</v>
      </c>
      <c r="B80" t="s">
        <v>369</v>
      </c>
      <c r="C80" t="s">
        <v>434</v>
      </c>
      <c r="D80" s="7">
        <v>2.2496559999999999</v>
      </c>
      <c r="E80" s="7">
        <v>30.72579</v>
      </c>
      <c r="F80">
        <v>265.60000000000002</v>
      </c>
      <c r="G80" s="10">
        <v>17500000</v>
      </c>
    </row>
    <row r="81" spans="1:7" x14ac:dyDescent="0.3">
      <c r="A81">
        <v>2878</v>
      </c>
      <c r="B81" t="s">
        <v>370</v>
      </c>
      <c r="C81" t="s">
        <v>434</v>
      </c>
      <c r="D81" s="7">
        <v>2.2496559999999999</v>
      </c>
      <c r="E81" s="7">
        <v>30.72579</v>
      </c>
      <c r="F81">
        <v>498.8</v>
      </c>
      <c r="G81" s="10">
        <v>138500000</v>
      </c>
    </row>
    <row r="82" spans="1:7" x14ac:dyDescent="0.3">
      <c r="A82">
        <v>2963</v>
      </c>
      <c r="B82" t="s">
        <v>79</v>
      </c>
      <c r="C82" t="s">
        <v>426</v>
      </c>
      <c r="D82" s="7">
        <v>1.5597989999999999</v>
      </c>
      <c r="E82" s="7">
        <v>21.631219999999999</v>
      </c>
      <c r="F82">
        <v>473</v>
      </c>
      <c r="G82" s="10">
        <v>82500000</v>
      </c>
    </row>
    <row r="83" spans="1:7" x14ac:dyDescent="0.3">
      <c r="A83">
        <v>3113</v>
      </c>
      <c r="B83" t="s">
        <v>371</v>
      </c>
      <c r="C83" t="s">
        <v>429</v>
      </c>
      <c r="D83" s="7">
        <v>2.7281089999999999</v>
      </c>
      <c r="E83" s="7">
        <v>30.528749999999999</v>
      </c>
      <c r="F83">
        <v>255</v>
      </c>
      <c r="G83" s="10">
        <v>37000000</v>
      </c>
    </row>
    <row r="84" spans="1:7" x14ac:dyDescent="0.3">
      <c r="A84">
        <v>3115</v>
      </c>
      <c r="B84" t="s">
        <v>372</v>
      </c>
      <c r="C84" t="s">
        <v>429</v>
      </c>
      <c r="D84" s="7">
        <v>2.7281089999999999</v>
      </c>
      <c r="E84" s="7">
        <v>30.528749999999999</v>
      </c>
      <c r="F84">
        <v>225</v>
      </c>
      <c r="G84" s="10">
        <v>38000000</v>
      </c>
    </row>
    <row r="85" spans="1:7" x14ac:dyDescent="0.3">
      <c r="A85">
        <v>3149</v>
      </c>
      <c r="B85" t="s">
        <v>84</v>
      </c>
      <c r="C85" t="s">
        <v>432</v>
      </c>
      <c r="D85" s="7">
        <v>2.7281089999999999</v>
      </c>
      <c r="E85" s="7">
        <v>30.528749999999999</v>
      </c>
      <c r="F85">
        <v>17.2</v>
      </c>
      <c r="G85" s="10">
        <v>340500000</v>
      </c>
    </row>
    <row r="86" spans="1:7" x14ac:dyDescent="0.3">
      <c r="A86">
        <v>3152</v>
      </c>
      <c r="B86" t="s">
        <v>373</v>
      </c>
      <c r="C86" t="s">
        <v>438</v>
      </c>
      <c r="D86" s="7">
        <v>2.7281089999999999</v>
      </c>
      <c r="E86" s="7">
        <v>30.528749999999999</v>
      </c>
      <c r="F86">
        <v>437.9</v>
      </c>
      <c r="G86" s="10">
        <v>92500000</v>
      </c>
    </row>
    <row r="87" spans="1:7" x14ac:dyDescent="0.3">
      <c r="A87">
        <v>3159</v>
      </c>
      <c r="B87" t="s">
        <v>374</v>
      </c>
      <c r="C87" t="s">
        <v>436</v>
      </c>
      <c r="D87" s="7">
        <v>2.7281089999999999</v>
      </c>
      <c r="E87" s="7">
        <v>30.528749999999999</v>
      </c>
      <c r="F87">
        <v>187.5</v>
      </c>
      <c r="G87" s="10">
        <v>27500000</v>
      </c>
    </row>
    <row r="88" spans="1:7" x14ac:dyDescent="0.3">
      <c r="A88">
        <v>3161</v>
      </c>
      <c r="B88" t="s">
        <v>375</v>
      </c>
      <c r="C88" t="s">
        <v>433</v>
      </c>
      <c r="D88" s="7">
        <v>2.7281089999999999</v>
      </c>
      <c r="E88" s="7">
        <v>30.528749999999999</v>
      </c>
      <c r="F88">
        <v>707.2</v>
      </c>
      <c r="G88" s="10">
        <v>120000000</v>
      </c>
    </row>
    <row r="89" spans="1:7" x14ac:dyDescent="0.3">
      <c r="A89">
        <v>3251</v>
      </c>
      <c r="B89" t="s">
        <v>376</v>
      </c>
      <c r="C89" t="s">
        <v>434</v>
      </c>
      <c r="D89" s="7">
        <v>3.9345919999999999</v>
      </c>
      <c r="E89" s="7">
        <v>27.79637</v>
      </c>
      <c r="F89">
        <v>206.6</v>
      </c>
      <c r="G89" s="10">
        <v>39000000</v>
      </c>
    </row>
    <row r="90" spans="1:7" x14ac:dyDescent="0.3">
      <c r="A90">
        <v>3264</v>
      </c>
      <c r="B90" t="s">
        <v>303</v>
      </c>
      <c r="C90" t="s">
        <v>438</v>
      </c>
      <c r="D90" s="7">
        <v>3.6072099999999998</v>
      </c>
      <c r="E90" s="7">
        <v>27.79637</v>
      </c>
      <c r="F90">
        <v>180</v>
      </c>
      <c r="G90" s="10">
        <v>18500000</v>
      </c>
    </row>
    <row r="91" spans="1:7" x14ac:dyDescent="0.3">
      <c r="A91">
        <v>3280</v>
      </c>
      <c r="B91" t="s">
        <v>377</v>
      </c>
      <c r="C91" t="s">
        <v>450</v>
      </c>
      <c r="D91" s="7">
        <v>4.2339000000000002</v>
      </c>
      <c r="E91" s="7">
        <v>27.79637</v>
      </c>
      <c r="F91">
        <v>489.6</v>
      </c>
      <c r="G91" s="10">
        <v>0</v>
      </c>
    </row>
    <row r="92" spans="1:7" x14ac:dyDescent="0.3">
      <c r="A92">
        <v>3317</v>
      </c>
      <c r="B92" t="s">
        <v>378</v>
      </c>
      <c r="C92" t="s">
        <v>434</v>
      </c>
      <c r="D92" s="7">
        <v>3.9839370000000001</v>
      </c>
      <c r="E92" s="7">
        <v>27.79637</v>
      </c>
      <c r="F92">
        <v>163.19999999999999</v>
      </c>
      <c r="G92" s="10">
        <v>26500000</v>
      </c>
    </row>
    <row r="93" spans="1:7" x14ac:dyDescent="0.3">
      <c r="A93">
        <v>3319</v>
      </c>
      <c r="B93" t="s">
        <v>379</v>
      </c>
      <c r="C93" t="s">
        <v>434</v>
      </c>
      <c r="D93" s="7">
        <v>3.8450310000000001</v>
      </c>
      <c r="E93" s="7">
        <v>27.79637</v>
      </c>
      <c r="F93">
        <v>345.6</v>
      </c>
      <c r="G93" s="10">
        <v>13000000</v>
      </c>
    </row>
    <row r="94" spans="1:7" x14ac:dyDescent="0.3">
      <c r="A94">
        <v>3393</v>
      </c>
      <c r="B94" t="s">
        <v>304</v>
      </c>
      <c r="C94" t="s">
        <v>428</v>
      </c>
      <c r="D94" s="7">
        <v>2.1591320000000001</v>
      </c>
      <c r="E94" s="7">
        <v>40.691279999999999</v>
      </c>
      <c r="F94">
        <v>990</v>
      </c>
      <c r="G94" s="10">
        <v>0</v>
      </c>
    </row>
    <row r="95" spans="1:7" x14ac:dyDescent="0.3">
      <c r="A95">
        <v>3405</v>
      </c>
      <c r="B95" t="s">
        <v>380</v>
      </c>
      <c r="C95" t="s">
        <v>449</v>
      </c>
      <c r="D95" s="7">
        <v>3.1075940000000002</v>
      </c>
      <c r="E95" s="7">
        <v>40.691279999999999</v>
      </c>
      <c r="F95">
        <v>800</v>
      </c>
      <c r="G95" s="10">
        <v>123500000</v>
      </c>
    </row>
    <row r="96" spans="1:7" x14ac:dyDescent="0.3">
      <c r="A96">
        <v>3406</v>
      </c>
      <c r="B96" t="s">
        <v>381</v>
      </c>
      <c r="C96" t="s">
        <v>451</v>
      </c>
      <c r="D96" s="7">
        <v>2.4037350000000002</v>
      </c>
      <c r="E96" s="7">
        <v>40.691279999999999</v>
      </c>
      <c r="F96">
        <v>1485.2</v>
      </c>
      <c r="G96" s="10">
        <v>113000000</v>
      </c>
    </row>
    <row r="97" spans="1:7" x14ac:dyDescent="0.3">
      <c r="A97">
        <v>3497</v>
      </c>
      <c r="B97" t="s">
        <v>382</v>
      </c>
      <c r="C97" t="s">
        <v>428</v>
      </c>
      <c r="D97" s="7">
        <v>2.0576340000000002</v>
      </c>
      <c r="E97" s="7">
        <v>25.530670000000001</v>
      </c>
      <c r="F97">
        <v>1186.8</v>
      </c>
      <c r="G97" s="10">
        <v>0</v>
      </c>
    </row>
    <row r="98" spans="1:7" x14ac:dyDescent="0.3">
      <c r="A98">
        <v>3644</v>
      </c>
      <c r="B98" t="s">
        <v>383</v>
      </c>
      <c r="C98" t="s">
        <v>424</v>
      </c>
      <c r="D98" s="7">
        <v>1.6983790000000001</v>
      </c>
      <c r="E98" s="7">
        <v>21.925370000000001</v>
      </c>
      <c r="F98">
        <v>188.6</v>
      </c>
      <c r="G98" s="10">
        <v>27500000</v>
      </c>
    </row>
    <row r="99" spans="1:7" x14ac:dyDescent="0.3">
      <c r="A99">
        <v>3775</v>
      </c>
      <c r="B99" t="s">
        <v>261</v>
      </c>
      <c r="C99" t="s">
        <v>424</v>
      </c>
      <c r="D99" s="7">
        <v>3.4093979999999999</v>
      </c>
      <c r="E99" s="7">
        <v>27.239180000000001</v>
      </c>
      <c r="F99">
        <v>237.5</v>
      </c>
      <c r="G99" s="10">
        <v>0</v>
      </c>
    </row>
    <row r="100" spans="1:7" x14ac:dyDescent="0.3">
      <c r="A100">
        <v>3776</v>
      </c>
      <c r="B100" t="s">
        <v>384</v>
      </c>
      <c r="C100" t="s">
        <v>424</v>
      </c>
      <c r="D100" s="7">
        <v>3.4536259999999999</v>
      </c>
      <c r="E100" s="7">
        <v>27.239180000000001</v>
      </c>
      <c r="F100">
        <v>337.5</v>
      </c>
      <c r="G100" s="10">
        <v>16000000</v>
      </c>
    </row>
    <row r="101" spans="1:7" x14ac:dyDescent="0.3">
      <c r="A101">
        <v>3797</v>
      </c>
      <c r="B101" t="s">
        <v>91</v>
      </c>
      <c r="C101" t="s">
        <v>432</v>
      </c>
      <c r="D101" s="7">
        <v>3.174477</v>
      </c>
      <c r="E101" s="7">
        <v>27.239180000000001</v>
      </c>
      <c r="F101">
        <v>300</v>
      </c>
      <c r="G101" s="10">
        <v>0</v>
      </c>
    </row>
    <row r="102" spans="1:7" x14ac:dyDescent="0.3">
      <c r="A102">
        <v>3803</v>
      </c>
      <c r="B102" t="s">
        <v>385</v>
      </c>
      <c r="C102" t="s">
        <v>424</v>
      </c>
      <c r="D102" s="7">
        <v>3.6125750000000001</v>
      </c>
      <c r="E102" s="7">
        <v>27.239180000000001</v>
      </c>
      <c r="F102">
        <v>649.5</v>
      </c>
      <c r="G102" s="10">
        <v>0</v>
      </c>
    </row>
    <row r="103" spans="1:7" x14ac:dyDescent="0.3">
      <c r="A103">
        <v>3809</v>
      </c>
      <c r="B103" t="s">
        <v>386</v>
      </c>
      <c r="C103" t="s">
        <v>432</v>
      </c>
      <c r="D103" s="7">
        <v>3.471355</v>
      </c>
      <c r="E103" s="7">
        <v>27.239180000000001</v>
      </c>
      <c r="F103">
        <v>375</v>
      </c>
      <c r="G103" s="10">
        <v>0</v>
      </c>
    </row>
    <row r="104" spans="1:7" x14ac:dyDescent="0.3">
      <c r="A104">
        <v>3992</v>
      </c>
      <c r="B104" t="s">
        <v>387</v>
      </c>
      <c r="C104" t="s">
        <v>436</v>
      </c>
      <c r="D104" s="7">
        <v>4.3167879999999998</v>
      </c>
      <c r="E104" s="7">
        <v>39.658639999999998</v>
      </c>
      <c r="F104">
        <v>34.5</v>
      </c>
      <c r="G104" s="10">
        <v>500000</v>
      </c>
    </row>
    <row r="105" spans="1:7" x14ac:dyDescent="0.3">
      <c r="A105">
        <v>4050</v>
      </c>
      <c r="B105" t="s">
        <v>98</v>
      </c>
      <c r="C105" t="s">
        <v>437</v>
      </c>
      <c r="D105" s="7">
        <v>2.2647240000000002</v>
      </c>
      <c r="E105" s="7">
        <v>39.658639999999998</v>
      </c>
      <c r="F105">
        <v>420</v>
      </c>
      <c r="G105" s="10">
        <v>500000</v>
      </c>
    </row>
    <row r="106" spans="1:7" x14ac:dyDescent="0.3">
      <c r="A106">
        <v>4054</v>
      </c>
      <c r="B106" t="s">
        <v>388</v>
      </c>
      <c r="C106" t="s">
        <v>424</v>
      </c>
      <c r="D106" s="7">
        <v>2.2958609999999999</v>
      </c>
      <c r="E106" s="7">
        <v>39.658639999999998</v>
      </c>
      <c r="F106">
        <v>227.2</v>
      </c>
      <c r="G106" s="10">
        <v>0</v>
      </c>
    </row>
    <row r="107" spans="1:7" x14ac:dyDescent="0.3">
      <c r="A107">
        <v>4072</v>
      </c>
      <c r="B107" t="s">
        <v>389</v>
      </c>
      <c r="C107" t="s">
        <v>437</v>
      </c>
      <c r="D107" s="7">
        <v>2.6647959999999999</v>
      </c>
      <c r="E107" s="7">
        <v>39.658639999999998</v>
      </c>
      <c r="F107">
        <v>350.2</v>
      </c>
      <c r="G107" s="10">
        <v>0</v>
      </c>
    </row>
    <row r="108" spans="1:7" x14ac:dyDescent="0.3">
      <c r="A108">
        <v>4078</v>
      </c>
      <c r="B108" t="s">
        <v>99</v>
      </c>
      <c r="C108" t="s">
        <v>424</v>
      </c>
      <c r="D108" s="7">
        <v>2.4364189999999999</v>
      </c>
      <c r="E108" s="7">
        <v>39.658639999999998</v>
      </c>
      <c r="F108">
        <v>60</v>
      </c>
      <c r="G108" s="10">
        <v>0</v>
      </c>
    </row>
    <row r="109" spans="1:7" x14ac:dyDescent="0.3">
      <c r="A109">
        <v>4140</v>
      </c>
      <c r="B109" t="s">
        <v>390</v>
      </c>
      <c r="C109" t="s">
        <v>449</v>
      </c>
      <c r="D109" s="7">
        <v>3.6566130000000001</v>
      </c>
      <c r="E109" s="7">
        <v>39.658639999999998</v>
      </c>
      <c r="F109">
        <v>181</v>
      </c>
      <c r="G109" s="10">
        <v>6500000</v>
      </c>
    </row>
    <row r="110" spans="1:7" x14ac:dyDescent="0.3">
      <c r="A110">
        <v>4941</v>
      </c>
      <c r="B110" t="s">
        <v>391</v>
      </c>
      <c r="C110" t="s">
        <v>432</v>
      </c>
      <c r="D110" s="7">
        <v>2.436083</v>
      </c>
      <c r="E110" s="7">
        <v>28.018889999999999</v>
      </c>
      <c r="F110">
        <v>2409.3000000000002</v>
      </c>
      <c r="G110" s="10">
        <v>0</v>
      </c>
    </row>
    <row r="111" spans="1:7" x14ac:dyDescent="0.3">
      <c r="A111">
        <v>6017</v>
      </c>
      <c r="B111" t="s">
        <v>106</v>
      </c>
      <c r="C111" t="s">
        <v>426</v>
      </c>
      <c r="D111" s="7">
        <v>1.958637</v>
      </c>
      <c r="E111" s="7">
        <v>26.63785</v>
      </c>
      <c r="F111">
        <v>617.4</v>
      </c>
      <c r="G111" s="10">
        <v>0</v>
      </c>
    </row>
    <row r="112" spans="1:7" x14ac:dyDescent="0.3">
      <c r="A112">
        <v>6061</v>
      </c>
      <c r="B112" t="s">
        <v>392</v>
      </c>
      <c r="C112" t="s">
        <v>428</v>
      </c>
      <c r="D112" s="7">
        <v>3.8140969999999998</v>
      </c>
      <c r="E112" s="7">
        <v>30.230799999999999</v>
      </c>
      <c r="F112">
        <v>400</v>
      </c>
      <c r="G112" s="10">
        <v>53500000</v>
      </c>
    </row>
    <row r="113" spans="1:7" x14ac:dyDescent="0.3">
      <c r="A113">
        <v>6124</v>
      </c>
      <c r="B113" t="s">
        <v>393</v>
      </c>
      <c r="C113" t="s">
        <v>432</v>
      </c>
      <c r="D113" s="7">
        <v>4.1453090000000001</v>
      </c>
      <c r="E113" s="7">
        <v>26.69661</v>
      </c>
      <c r="F113">
        <v>177.6</v>
      </c>
      <c r="G113" s="10">
        <v>6500000</v>
      </c>
    </row>
    <row r="114" spans="1:7" x14ac:dyDescent="0.3">
      <c r="A114">
        <v>6139</v>
      </c>
      <c r="B114" t="s">
        <v>129</v>
      </c>
      <c r="C114" t="s">
        <v>426</v>
      </c>
      <c r="D114" s="7">
        <v>2.0181520000000002</v>
      </c>
      <c r="E114" s="7">
        <v>25.530670000000001</v>
      </c>
      <c r="F114">
        <v>558</v>
      </c>
      <c r="G114" s="10">
        <v>79000000</v>
      </c>
    </row>
    <row r="115" spans="1:7" x14ac:dyDescent="0.3">
      <c r="A115">
        <v>6147</v>
      </c>
      <c r="B115" t="s">
        <v>394</v>
      </c>
      <c r="C115" t="s">
        <v>428</v>
      </c>
      <c r="D115" s="7">
        <v>2.0576340000000002</v>
      </c>
      <c r="E115" s="7">
        <v>25.530670000000001</v>
      </c>
      <c r="F115">
        <v>1980</v>
      </c>
      <c r="G115" s="10">
        <v>0</v>
      </c>
    </row>
    <row r="116" spans="1:7" x14ac:dyDescent="0.3">
      <c r="A116">
        <v>6170</v>
      </c>
      <c r="B116" t="s">
        <v>395</v>
      </c>
      <c r="C116" t="s">
        <v>428</v>
      </c>
      <c r="D116" s="7">
        <v>1.9792110000000001</v>
      </c>
      <c r="E116" s="7">
        <v>39.658639999999998</v>
      </c>
      <c r="F116">
        <v>1233.2</v>
      </c>
      <c r="G116" s="10">
        <v>0</v>
      </c>
    </row>
    <row r="117" spans="1:7" x14ac:dyDescent="0.3">
      <c r="A117">
        <v>6648</v>
      </c>
      <c r="B117" t="s">
        <v>396</v>
      </c>
      <c r="C117" t="s">
        <v>428</v>
      </c>
      <c r="D117" s="7">
        <v>2.0576340000000002</v>
      </c>
      <c r="E117" s="7">
        <v>25.530670000000001</v>
      </c>
      <c r="F117">
        <v>590.6</v>
      </c>
      <c r="G117" s="10">
        <v>0</v>
      </c>
    </row>
    <row r="118" spans="1:7" x14ac:dyDescent="0.3">
      <c r="A118">
        <v>7286</v>
      </c>
      <c r="B118" t="s">
        <v>397</v>
      </c>
      <c r="C118" t="s">
        <v>452</v>
      </c>
      <c r="D118" s="7">
        <v>2.87059</v>
      </c>
      <c r="E118" s="7">
        <v>30.72579</v>
      </c>
      <c r="F118">
        <v>200</v>
      </c>
      <c r="G118" s="10">
        <v>127500000</v>
      </c>
    </row>
    <row r="119" spans="1:7" x14ac:dyDescent="0.3">
      <c r="A119">
        <v>10075</v>
      </c>
      <c r="B119" t="s">
        <v>398</v>
      </c>
      <c r="C119" t="s">
        <v>424</v>
      </c>
      <c r="D119" s="7">
        <v>2.0904910000000001</v>
      </c>
      <c r="E119" s="7">
        <v>29.532340000000001</v>
      </c>
      <c r="F119">
        <v>84</v>
      </c>
      <c r="G119" s="10">
        <v>4500000</v>
      </c>
    </row>
    <row r="120" spans="1:7" x14ac:dyDescent="0.3">
      <c r="A120">
        <v>10360</v>
      </c>
      <c r="B120" t="s">
        <v>399</v>
      </c>
      <c r="C120" t="s">
        <v>438</v>
      </c>
      <c r="D120" s="7">
        <v>2.270257</v>
      </c>
      <c r="E120" s="7">
        <v>39.658639999999998</v>
      </c>
      <c r="F120">
        <v>38.200000000000003</v>
      </c>
      <c r="G120" s="10">
        <v>1000000</v>
      </c>
    </row>
    <row r="121" spans="1:7" x14ac:dyDescent="0.3">
      <c r="A121">
        <v>10860</v>
      </c>
      <c r="B121" t="s">
        <v>188</v>
      </c>
      <c r="C121" t="s">
        <v>447</v>
      </c>
      <c r="D121" s="7">
        <v>1.666145</v>
      </c>
      <c r="E121" s="7">
        <v>22.522449999999999</v>
      </c>
      <c r="F121">
        <v>31.4</v>
      </c>
      <c r="G121" s="10">
        <v>134000000</v>
      </c>
    </row>
    <row r="122" spans="1:7" x14ac:dyDescent="0.3">
      <c r="A122">
        <v>50900</v>
      </c>
      <c r="B122" t="s">
        <v>200</v>
      </c>
      <c r="C122" t="s">
        <v>429</v>
      </c>
      <c r="D122" s="7">
        <v>3.51119</v>
      </c>
      <c r="E122" s="7">
        <v>27.239180000000001</v>
      </c>
      <c r="F122">
        <v>21</v>
      </c>
      <c r="G122" s="10">
        <v>42000000</v>
      </c>
    </row>
    <row r="123" spans="1:7" x14ac:dyDescent="0.3">
      <c r="A123">
        <v>52007</v>
      </c>
      <c r="B123" t="s">
        <v>400</v>
      </c>
      <c r="C123" t="s">
        <v>432</v>
      </c>
      <c r="D123" s="7">
        <v>2.9031899999999999</v>
      </c>
      <c r="E123" s="7">
        <v>27.239180000000001</v>
      </c>
      <c r="F123">
        <v>139.80000000000001</v>
      </c>
      <c r="G123" s="10">
        <v>0</v>
      </c>
    </row>
    <row r="124" spans="1:7" x14ac:dyDescent="0.3">
      <c r="A124">
        <v>52071</v>
      </c>
      <c r="B124" t="s">
        <v>401</v>
      </c>
      <c r="C124" t="s">
        <v>428</v>
      </c>
      <c r="D124" s="7">
        <v>2.0576340000000002</v>
      </c>
      <c r="E124" s="7">
        <v>25.530670000000001</v>
      </c>
      <c r="F124">
        <v>661.5</v>
      </c>
      <c r="G124" s="10">
        <v>0</v>
      </c>
    </row>
    <row r="125" spans="1:7" x14ac:dyDescent="0.3">
      <c r="A125">
        <v>56163</v>
      </c>
      <c r="B125" t="s">
        <v>402</v>
      </c>
      <c r="C125" t="s">
        <v>453</v>
      </c>
      <c r="D125" s="7">
        <v>2.5888049999999998</v>
      </c>
      <c r="E125" s="7">
        <v>21.925370000000001</v>
      </c>
      <c r="F125">
        <v>182</v>
      </c>
      <c r="G125" s="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04A45-7DC7-4577-A128-BDA48FC645AC}">
  <dimension ref="A1:M314"/>
  <sheetViews>
    <sheetView topLeftCell="F1" workbookViewId="0">
      <selection activeCell="H32" sqref="H32"/>
    </sheetView>
  </sheetViews>
  <sheetFormatPr defaultRowHeight="14.4" x14ac:dyDescent="0.3"/>
  <cols>
    <col min="1" max="1" width="9.88671875" bestFit="1" customWidth="1"/>
    <col min="2" max="2" width="30.5546875" bestFit="1" customWidth="1"/>
    <col min="3" max="3" width="11.109375" bestFit="1" customWidth="1"/>
    <col min="4" max="4" width="10.88671875" bestFit="1" customWidth="1"/>
    <col min="5" max="7" width="31.88671875" customWidth="1"/>
    <col min="8" max="8" width="47.6640625" customWidth="1"/>
    <col min="9" max="10" width="33.44140625" style="5" customWidth="1"/>
    <col min="11" max="11" width="29.109375" bestFit="1" customWidth="1"/>
    <col min="12" max="12" width="31.109375" customWidth="1"/>
    <col min="13" max="13" width="21.5546875" bestFit="1" customWidth="1"/>
  </cols>
  <sheetData>
    <row r="1" spans="1:13" ht="57.6" x14ac:dyDescent="0.3">
      <c r="A1" s="5" t="s">
        <v>0</v>
      </c>
      <c r="B1" s="5" t="s">
        <v>1</v>
      </c>
      <c r="C1" s="5" t="s">
        <v>308</v>
      </c>
      <c r="D1" s="5" t="s">
        <v>7</v>
      </c>
      <c r="E1" s="5" t="s">
        <v>416</v>
      </c>
      <c r="F1" s="5" t="s">
        <v>417</v>
      </c>
      <c r="G1" s="5" t="s">
        <v>421</v>
      </c>
      <c r="H1" s="5" t="s">
        <v>418</v>
      </c>
      <c r="I1" s="5" t="s">
        <v>419</v>
      </c>
      <c r="J1" s="5" t="s">
        <v>420</v>
      </c>
      <c r="K1" s="5" t="s">
        <v>423</v>
      </c>
      <c r="L1" s="5" t="s">
        <v>422</v>
      </c>
      <c r="M1" s="5" t="s">
        <v>307</v>
      </c>
    </row>
    <row r="2" spans="1:13" x14ac:dyDescent="0.3">
      <c r="A2">
        <v>3</v>
      </c>
      <c r="B2" t="s">
        <v>8</v>
      </c>
      <c r="C2">
        <v>3</v>
      </c>
      <c r="D2">
        <v>2015</v>
      </c>
      <c r="E2">
        <v>4.2017369999999996</v>
      </c>
      <c r="F2">
        <v>778131.8</v>
      </c>
      <c r="G2">
        <v>27.36271</v>
      </c>
      <c r="I2">
        <v>2.7411509999999999</v>
      </c>
      <c r="J2" s="5">
        <v>0.36481025671332956</v>
      </c>
      <c r="K2">
        <v>272</v>
      </c>
      <c r="L2">
        <v>12000000</v>
      </c>
      <c r="M2">
        <f>L2/K2</f>
        <v>44117.647058823532</v>
      </c>
    </row>
    <row r="3" spans="1:13" x14ac:dyDescent="0.3">
      <c r="A3">
        <v>8</v>
      </c>
      <c r="B3" t="s">
        <v>309</v>
      </c>
      <c r="C3">
        <v>10</v>
      </c>
      <c r="D3">
        <v>2019</v>
      </c>
      <c r="E3">
        <v>3.7649430000000002</v>
      </c>
      <c r="F3">
        <v>3517633</v>
      </c>
      <c r="G3">
        <v>27.36271</v>
      </c>
      <c r="I3">
        <v>2.503822</v>
      </c>
      <c r="J3" s="5">
        <v>0.3993894134646952</v>
      </c>
      <c r="K3">
        <v>788.8</v>
      </c>
      <c r="L3">
        <v>57500000</v>
      </c>
      <c r="M3">
        <f t="shared" ref="M3:M66" si="0">L3/K3</f>
        <v>72895.537525354972</v>
      </c>
    </row>
    <row r="4" spans="1:13" x14ac:dyDescent="0.3">
      <c r="A4">
        <v>8</v>
      </c>
      <c r="B4" t="s">
        <v>309</v>
      </c>
      <c r="C4">
        <v>6</v>
      </c>
      <c r="D4">
        <v>2015</v>
      </c>
      <c r="E4">
        <v>3.7649430000000002</v>
      </c>
      <c r="F4">
        <v>223348.9</v>
      </c>
      <c r="G4">
        <v>27.36271</v>
      </c>
      <c r="I4">
        <v>3.357307</v>
      </c>
      <c r="J4" s="5">
        <v>0.2978577770814525</v>
      </c>
      <c r="K4">
        <v>125</v>
      </c>
      <c r="L4">
        <v>10500000</v>
      </c>
      <c r="M4">
        <f t="shared" si="0"/>
        <v>84000</v>
      </c>
    </row>
    <row r="5" spans="1:13" x14ac:dyDescent="0.3">
      <c r="A5">
        <v>8</v>
      </c>
      <c r="B5" t="s">
        <v>309</v>
      </c>
      <c r="C5">
        <v>7</v>
      </c>
      <c r="D5">
        <v>2015</v>
      </c>
      <c r="E5">
        <v>3.7649430000000002</v>
      </c>
      <c r="F5">
        <v>279406.40000000002</v>
      </c>
      <c r="G5">
        <v>27.36271</v>
      </c>
      <c r="I5">
        <v>3.3003100000000001</v>
      </c>
      <c r="J5" s="5">
        <v>0.30300183922116408</v>
      </c>
      <c r="K5">
        <v>125</v>
      </c>
      <c r="L5">
        <v>15500000</v>
      </c>
      <c r="M5">
        <f t="shared" si="0"/>
        <v>124000</v>
      </c>
    </row>
    <row r="6" spans="1:13" x14ac:dyDescent="0.3">
      <c r="A6">
        <v>8</v>
      </c>
      <c r="B6" t="s">
        <v>309</v>
      </c>
      <c r="C6">
        <v>8</v>
      </c>
      <c r="D6">
        <v>2019</v>
      </c>
      <c r="E6">
        <v>3.7649430000000002</v>
      </c>
      <c r="F6">
        <v>574566.80000000005</v>
      </c>
      <c r="G6">
        <v>27.36271</v>
      </c>
      <c r="I6">
        <v>2.916858</v>
      </c>
      <c r="J6" s="5">
        <v>0.34283465290391235</v>
      </c>
      <c r="K6">
        <v>187.5</v>
      </c>
      <c r="L6">
        <v>10000000</v>
      </c>
      <c r="M6">
        <f t="shared" si="0"/>
        <v>53333.333333333336</v>
      </c>
    </row>
    <row r="7" spans="1:13" x14ac:dyDescent="0.3">
      <c r="A7">
        <v>8</v>
      </c>
      <c r="B7" t="s">
        <v>309</v>
      </c>
      <c r="C7">
        <v>9</v>
      </c>
      <c r="D7">
        <v>2019</v>
      </c>
      <c r="E7">
        <v>3.7649430000000002</v>
      </c>
      <c r="F7">
        <v>636511.1</v>
      </c>
      <c r="G7">
        <v>27.36271</v>
      </c>
      <c r="I7">
        <v>2.7463730000000002</v>
      </c>
      <c r="J7" s="5">
        <v>0.36411660033069065</v>
      </c>
      <c r="K7">
        <v>190.4</v>
      </c>
      <c r="L7">
        <v>14500000</v>
      </c>
      <c r="M7">
        <f t="shared" si="0"/>
        <v>76155.462184873948</v>
      </c>
    </row>
    <row r="8" spans="1:13" x14ac:dyDescent="0.3">
      <c r="A8">
        <v>47</v>
      </c>
      <c r="B8" t="s">
        <v>310</v>
      </c>
      <c r="C8">
        <v>1</v>
      </c>
      <c r="D8">
        <v>2016</v>
      </c>
      <c r="E8">
        <v>2.7818360000000002</v>
      </c>
      <c r="F8">
        <v>95407.21</v>
      </c>
      <c r="G8">
        <v>27.36271</v>
      </c>
      <c r="I8">
        <v>1.5413479999999999</v>
      </c>
      <c r="J8" s="5">
        <v>0.64878275379732553</v>
      </c>
      <c r="K8">
        <v>200</v>
      </c>
      <c r="L8">
        <v>0</v>
      </c>
      <c r="M8">
        <f t="shared" si="0"/>
        <v>0</v>
      </c>
    </row>
    <row r="9" spans="1:13" x14ac:dyDescent="0.3">
      <c r="A9">
        <v>47</v>
      </c>
      <c r="B9" t="s">
        <v>310</v>
      </c>
      <c r="C9">
        <v>2</v>
      </c>
      <c r="D9">
        <v>2016</v>
      </c>
      <c r="E9">
        <v>2.7818360000000002</v>
      </c>
      <c r="F9">
        <v>90888.639999999999</v>
      </c>
      <c r="G9">
        <v>27.36271</v>
      </c>
      <c r="I9">
        <v>1.4189590000000001</v>
      </c>
      <c r="J9" s="5">
        <v>0.70474199747843314</v>
      </c>
      <c r="K9">
        <v>200</v>
      </c>
      <c r="L9">
        <v>0</v>
      </c>
      <c r="M9">
        <f t="shared" si="0"/>
        <v>0</v>
      </c>
    </row>
    <row r="10" spans="1:13" x14ac:dyDescent="0.3">
      <c r="A10">
        <v>47</v>
      </c>
      <c r="B10" t="s">
        <v>310</v>
      </c>
      <c r="C10">
        <v>3</v>
      </c>
      <c r="D10">
        <v>2016</v>
      </c>
      <c r="E10">
        <v>2.7818360000000002</v>
      </c>
      <c r="F10">
        <v>90727.34</v>
      </c>
      <c r="G10">
        <v>27.36271</v>
      </c>
      <c r="I10">
        <v>1.401656</v>
      </c>
      <c r="J10" s="5">
        <v>0.71344181453937339</v>
      </c>
      <c r="K10">
        <v>200</v>
      </c>
      <c r="L10">
        <v>0</v>
      </c>
      <c r="M10">
        <f t="shared" si="0"/>
        <v>0</v>
      </c>
    </row>
    <row r="11" spans="1:13" x14ac:dyDescent="0.3">
      <c r="A11">
        <v>47</v>
      </c>
      <c r="B11" t="s">
        <v>310</v>
      </c>
      <c r="C11">
        <v>4</v>
      </c>
      <c r="D11">
        <v>2016</v>
      </c>
      <c r="E11">
        <v>2.7818360000000002</v>
      </c>
      <c r="F11">
        <v>90482.05</v>
      </c>
      <c r="G11">
        <v>27.36271</v>
      </c>
      <c r="I11">
        <v>1.577645</v>
      </c>
      <c r="J11" s="5">
        <v>0.63385615902183323</v>
      </c>
      <c r="K11">
        <v>200</v>
      </c>
      <c r="L11">
        <v>0</v>
      </c>
      <c r="M11">
        <f t="shared" si="0"/>
        <v>0</v>
      </c>
    </row>
    <row r="12" spans="1:13" x14ac:dyDescent="0.3">
      <c r="A12">
        <v>47</v>
      </c>
      <c r="B12" t="s">
        <v>310</v>
      </c>
      <c r="C12">
        <v>5</v>
      </c>
      <c r="D12">
        <v>2016</v>
      </c>
      <c r="E12">
        <v>2.7818360000000002</v>
      </c>
      <c r="F12">
        <v>2144768</v>
      </c>
      <c r="G12">
        <v>27.36271</v>
      </c>
      <c r="I12">
        <v>2.4901219999999999</v>
      </c>
      <c r="J12" s="5">
        <v>0.40158674956488077</v>
      </c>
      <c r="K12">
        <v>550</v>
      </c>
      <c r="L12" s="6">
        <v>109000000</v>
      </c>
      <c r="M12">
        <f t="shared" si="0"/>
        <v>198181.81818181818</v>
      </c>
    </row>
    <row r="13" spans="1:13" x14ac:dyDescent="0.3">
      <c r="A13">
        <v>50</v>
      </c>
      <c r="B13" t="s">
        <v>311</v>
      </c>
      <c r="C13">
        <v>1</v>
      </c>
      <c r="D13">
        <v>2014</v>
      </c>
      <c r="E13">
        <v>2.6118920000000001</v>
      </c>
      <c r="F13">
        <v>488161.8</v>
      </c>
      <c r="G13">
        <v>27.36271</v>
      </c>
      <c r="I13">
        <v>3.555043</v>
      </c>
      <c r="J13" s="5">
        <v>0.2812905497908183</v>
      </c>
      <c r="K13">
        <v>140.6</v>
      </c>
      <c r="L13">
        <v>43500000</v>
      </c>
      <c r="M13">
        <f t="shared" si="0"/>
        <v>309388.33570412517</v>
      </c>
    </row>
    <row r="14" spans="1:13" x14ac:dyDescent="0.3">
      <c r="A14">
        <v>50</v>
      </c>
      <c r="B14" t="s">
        <v>311</v>
      </c>
      <c r="C14">
        <v>2</v>
      </c>
      <c r="D14">
        <v>2014</v>
      </c>
      <c r="E14">
        <v>2.6118920000000001</v>
      </c>
      <c r="F14">
        <v>361622.8</v>
      </c>
      <c r="G14">
        <v>27.36271</v>
      </c>
      <c r="I14">
        <v>3.5761229999999999</v>
      </c>
      <c r="J14" s="5">
        <v>0.27963243993565101</v>
      </c>
      <c r="K14">
        <v>140.6</v>
      </c>
      <c r="L14">
        <v>31000000</v>
      </c>
      <c r="M14">
        <f t="shared" si="0"/>
        <v>220483.64153627312</v>
      </c>
    </row>
    <row r="15" spans="1:13" x14ac:dyDescent="0.3">
      <c r="A15">
        <v>50</v>
      </c>
      <c r="B15" t="s">
        <v>311</v>
      </c>
      <c r="C15">
        <v>3</v>
      </c>
      <c r="D15">
        <v>2013</v>
      </c>
      <c r="E15">
        <v>2.6118920000000001</v>
      </c>
      <c r="F15">
        <v>551661.9</v>
      </c>
      <c r="G15">
        <v>27.36271</v>
      </c>
      <c r="I15">
        <v>3.599478</v>
      </c>
      <c r="J15" s="5">
        <v>0.2778180613966803</v>
      </c>
      <c r="K15">
        <v>140.6</v>
      </c>
      <c r="L15">
        <v>51500000</v>
      </c>
      <c r="M15">
        <f t="shared" si="0"/>
        <v>366287.33997155051</v>
      </c>
    </row>
    <row r="16" spans="1:13" x14ac:dyDescent="0.3">
      <c r="A16">
        <v>50</v>
      </c>
      <c r="B16" t="s">
        <v>311</v>
      </c>
      <c r="C16">
        <v>4</v>
      </c>
      <c r="D16">
        <v>2014</v>
      </c>
      <c r="E16">
        <v>2.6118920000000001</v>
      </c>
      <c r="F16">
        <v>455794</v>
      </c>
      <c r="G16">
        <v>27.36271</v>
      </c>
      <c r="I16">
        <v>3.3389449999999998</v>
      </c>
      <c r="J16" s="5">
        <v>0.29949579882268201</v>
      </c>
      <c r="K16">
        <v>140.6</v>
      </c>
      <c r="L16">
        <v>36500000</v>
      </c>
      <c r="M16">
        <f t="shared" si="0"/>
        <v>259601.70697012803</v>
      </c>
    </row>
    <row r="17" spans="1:13" x14ac:dyDescent="0.3">
      <c r="A17">
        <v>50</v>
      </c>
      <c r="B17" t="s">
        <v>311</v>
      </c>
      <c r="C17">
        <v>5</v>
      </c>
      <c r="D17">
        <v>2013</v>
      </c>
      <c r="E17">
        <v>2.6118920000000001</v>
      </c>
      <c r="F17">
        <v>563477.9</v>
      </c>
      <c r="G17">
        <v>27.36271</v>
      </c>
      <c r="I17">
        <v>3.2073580000000002</v>
      </c>
      <c r="J17" s="5">
        <v>0.3117830937488113</v>
      </c>
      <c r="K17">
        <v>140.6</v>
      </c>
      <c r="L17">
        <v>49500000</v>
      </c>
      <c r="M17">
        <f t="shared" si="0"/>
        <v>352062.58890469419</v>
      </c>
    </row>
    <row r="18" spans="1:13" x14ac:dyDescent="0.3">
      <c r="A18">
        <v>50</v>
      </c>
      <c r="B18" t="s">
        <v>311</v>
      </c>
      <c r="C18">
        <v>6</v>
      </c>
      <c r="D18">
        <v>2014</v>
      </c>
      <c r="E18">
        <v>2.6118920000000001</v>
      </c>
      <c r="F18">
        <v>461276.6</v>
      </c>
      <c r="G18">
        <v>27.36271</v>
      </c>
      <c r="I18">
        <v>3.3337110000000001</v>
      </c>
      <c r="J18" s="5">
        <v>0.29996601385063071</v>
      </c>
      <c r="K18">
        <v>140.6</v>
      </c>
      <c r="L18">
        <v>33000000</v>
      </c>
      <c r="M18">
        <f t="shared" si="0"/>
        <v>234708.39260312947</v>
      </c>
    </row>
    <row r="19" spans="1:13" x14ac:dyDescent="0.3">
      <c r="A19">
        <v>50</v>
      </c>
      <c r="B19" t="s">
        <v>311</v>
      </c>
      <c r="C19">
        <v>7</v>
      </c>
      <c r="D19">
        <v>2015</v>
      </c>
      <c r="E19">
        <v>2.6118920000000001</v>
      </c>
      <c r="F19">
        <v>257446.2</v>
      </c>
      <c r="G19">
        <v>27.36271</v>
      </c>
      <c r="I19">
        <v>1.5316369999999999</v>
      </c>
      <c r="J19" s="5">
        <v>0.65289621496477301</v>
      </c>
      <c r="K19">
        <v>575</v>
      </c>
      <c r="L19">
        <v>0</v>
      </c>
      <c r="M19">
        <f t="shared" si="0"/>
        <v>0</v>
      </c>
    </row>
    <row r="20" spans="1:13" x14ac:dyDescent="0.3">
      <c r="A20">
        <v>50</v>
      </c>
      <c r="B20" t="s">
        <v>311</v>
      </c>
      <c r="C20">
        <v>8</v>
      </c>
      <c r="D20">
        <v>2015</v>
      </c>
      <c r="E20">
        <v>2.6118920000000001</v>
      </c>
      <c r="F20">
        <v>278851</v>
      </c>
      <c r="G20">
        <v>27.36271</v>
      </c>
      <c r="I20">
        <v>1.8118339999999999</v>
      </c>
      <c r="J20" s="5">
        <v>0.55192694253447061</v>
      </c>
      <c r="K20">
        <v>550</v>
      </c>
      <c r="L20">
        <v>0</v>
      </c>
      <c r="M20">
        <f t="shared" si="0"/>
        <v>0</v>
      </c>
    </row>
    <row r="21" spans="1:13" x14ac:dyDescent="0.3">
      <c r="A21">
        <v>113</v>
      </c>
      <c r="B21" t="s">
        <v>13</v>
      </c>
      <c r="C21">
        <v>2</v>
      </c>
      <c r="D21">
        <v>2015</v>
      </c>
      <c r="E21">
        <v>2.2791899999999998</v>
      </c>
      <c r="F21">
        <v>173042.7</v>
      </c>
      <c r="G21">
        <v>28.018889999999999</v>
      </c>
      <c r="I21">
        <v>1.45414</v>
      </c>
      <c r="J21" s="5">
        <v>0.68769169405971919</v>
      </c>
      <c r="K21">
        <v>288.89999999999998</v>
      </c>
      <c r="L21">
        <v>0</v>
      </c>
      <c r="M21">
        <f t="shared" si="0"/>
        <v>0</v>
      </c>
    </row>
    <row r="22" spans="1:13" x14ac:dyDescent="0.3">
      <c r="A22">
        <v>207</v>
      </c>
      <c r="B22" t="s">
        <v>312</v>
      </c>
      <c r="C22">
        <v>1</v>
      </c>
      <c r="D22">
        <v>2018</v>
      </c>
      <c r="E22">
        <v>3.48454</v>
      </c>
      <c r="F22">
        <v>3129557</v>
      </c>
      <c r="G22">
        <v>32.50723</v>
      </c>
      <c r="I22">
        <v>2.8340999999999998</v>
      </c>
      <c r="J22" s="5">
        <v>0.35284570057513853</v>
      </c>
      <c r="K22">
        <v>679</v>
      </c>
      <c r="L22">
        <v>48000000</v>
      </c>
      <c r="M22">
        <f t="shared" si="0"/>
        <v>70692.19440353461</v>
      </c>
    </row>
    <row r="23" spans="1:13" x14ac:dyDescent="0.3">
      <c r="A23">
        <v>207</v>
      </c>
      <c r="B23" t="s">
        <v>312</v>
      </c>
      <c r="C23">
        <v>2</v>
      </c>
      <c r="D23">
        <v>2018</v>
      </c>
      <c r="E23">
        <v>3.48454</v>
      </c>
      <c r="F23">
        <v>3239218</v>
      </c>
      <c r="G23">
        <v>32.50723</v>
      </c>
      <c r="I23">
        <v>2.8108089999999999</v>
      </c>
      <c r="J23" s="5">
        <v>0.35576945996686365</v>
      </c>
      <c r="K23">
        <v>679</v>
      </c>
      <c r="L23">
        <v>46000000</v>
      </c>
      <c r="M23">
        <f t="shared" si="0"/>
        <v>67746.686303387338</v>
      </c>
    </row>
    <row r="24" spans="1:13" x14ac:dyDescent="0.3">
      <c r="A24">
        <v>465</v>
      </c>
      <c r="B24" t="s">
        <v>313</v>
      </c>
      <c r="C24">
        <v>3</v>
      </c>
      <c r="D24">
        <v>2013</v>
      </c>
      <c r="E24">
        <v>1.634957</v>
      </c>
      <c r="F24">
        <v>235883.2</v>
      </c>
      <c r="G24">
        <v>30.070419999999999</v>
      </c>
      <c r="I24">
        <v>3.6806030000000001</v>
      </c>
      <c r="J24" s="5">
        <v>0.27169461091022312</v>
      </c>
      <c r="K24">
        <v>40</v>
      </c>
      <c r="L24">
        <v>7500000</v>
      </c>
      <c r="M24">
        <f t="shared" si="0"/>
        <v>187500</v>
      </c>
    </row>
    <row r="25" spans="1:13" x14ac:dyDescent="0.3">
      <c r="A25">
        <v>465</v>
      </c>
      <c r="B25" t="s">
        <v>313</v>
      </c>
      <c r="C25">
        <v>4</v>
      </c>
      <c r="D25">
        <v>2013</v>
      </c>
      <c r="E25">
        <v>1.634957</v>
      </c>
      <c r="F25">
        <v>584761.9</v>
      </c>
      <c r="G25">
        <v>30.070419999999999</v>
      </c>
      <c r="I25">
        <v>3.3187280000000001</v>
      </c>
      <c r="J25" s="5">
        <v>0.30132026487256564</v>
      </c>
      <c r="K25">
        <v>112.5</v>
      </c>
      <c r="L25">
        <v>16000000</v>
      </c>
      <c r="M25">
        <f t="shared" si="0"/>
        <v>142222.22222222222</v>
      </c>
    </row>
    <row r="26" spans="1:13" x14ac:dyDescent="0.3">
      <c r="A26">
        <v>469</v>
      </c>
      <c r="B26" t="s">
        <v>235</v>
      </c>
      <c r="C26">
        <v>1</v>
      </c>
      <c r="D26">
        <v>2012</v>
      </c>
      <c r="E26">
        <v>2.5819200000000002</v>
      </c>
      <c r="F26">
        <v>581934.9</v>
      </c>
      <c r="G26">
        <v>30.070419999999999</v>
      </c>
      <c r="I26">
        <v>3.1233849999999999</v>
      </c>
      <c r="J26" s="5">
        <v>0.32016546151050862</v>
      </c>
      <c r="K26">
        <v>125</v>
      </c>
      <c r="L26">
        <v>29500000</v>
      </c>
      <c r="M26">
        <f t="shared" si="0"/>
        <v>236000</v>
      </c>
    </row>
    <row r="27" spans="1:13" x14ac:dyDescent="0.3">
      <c r="A27">
        <v>469</v>
      </c>
      <c r="B27" t="s">
        <v>235</v>
      </c>
      <c r="C27">
        <v>2</v>
      </c>
      <c r="D27">
        <v>2011</v>
      </c>
      <c r="E27">
        <v>2.5819200000000002</v>
      </c>
      <c r="F27">
        <v>675425</v>
      </c>
      <c r="G27">
        <v>30.070419999999999</v>
      </c>
      <c r="I27">
        <v>3.2528480000000002</v>
      </c>
      <c r="J27" s="5">
        <v>0.30742291063093019</v>
      </c>
      <c r="K27">
        <v>125</v>
      </c>
      <c r="L27">
        <v>40500000</v>
      </c>
      <c r="M27">
        <f t="shared" si="0"/>
        <v>324000</v>
      </c>
    </row>
    <row r="28" spans="1:13" x14ac:dyDescent="0.3">
      <c r="A28">
        <v>469</v>
      </c>
      <c r="B28" t="s">
        <v>235</v>
      </c>
      <c r="C28">
        <v>3</v>
      </c>
      <c r="D28">
        <v>2015</v>
      </c>
      <c r="E28">
        <v>2.5819200000000002</v>
      </c>
      <c r="F28">
        <v>764422.6</v>
      </c>
      <c r="G28">
        <v>30.070419999999999</v>
      </c>
      <c r="I28">
        <v>2.59002</v>
      </c>
      <c r="J28" s="5">
        <v>0.38609740465324593</v>
      </c>
      <c r="K28">
        <v>170.5</v>
      </c>
      <c r="L28">
        <v>8500000</v>
      </c>
      <c r="M28">
        <f t="shared" si="0"/>
        <v>49853.372434017598</v>
      </c>
    </row>
    <row r="29" spans="1:13" x14ac:dyDescent="0.3">
      <c r="A29">
        <v>477</v>
      </c>
      <c r="B29" t="s">
        <v>314</v>
      </c>
      <c r="C29">
        <v>5</v>
      </c>
      <c r="D29">
        <v>2017</v>
      </c>
      <c r="E29">
        <v>2.8829150000000001</v>
      </c>
      <c r="F29">
        <v>933424.3</v>
      </c>
      <c r="G29">
        <v>30.070419999999999</v>
      </c>
      <c r="I29">
        <v>2.5977839999999999</v>
      </c>
      <c r="J29" s="5">
        <v>0.38494347490014569</v>
      </c>
      <c r="K29">
        <v>191.7</v>
      </c>
      <c r="L29">
        <v>3000000</v>
      </c>
      <c r="M29">
        <f t="shared" si="0"/>
        <v>15649.452269170581</v>
      </c>
    </row>
    <row r="30" spans="1:13" x14ac:dyDescent="0.3">
      <c r="A30">
        <v>492</v>
      </c>
      <c r="B30" t="s">
        <v>315</v>
      </c>
      <c r="C30">
        <v>5</v>
      </c>
      <c r="D30">
        <v>2016</v>
      </c>
      <c r="E30">
        <v>1.672464</v>
      </c>
      <c r="F30">
        <v>305557.7</v>
      </c>
      <c r="G30">
        <v>30.070419999999999</v>
      </c>
      <c r="I30">
        <v>2.2484500000000001</v>
      </c>
      <c r="J30" s="5">
        <v>0.44475082834841778</v>
      </c>
      <c r="K30">
        <v>50</v>
      </c>
      <c r="L30">
        <v>0</v>
      </c>
      <c r="M30">
        <f t="shared" si="0"/>
        <v>0</v>
      </c>
    </row>
    <row r="31" spans="1:13" x14ac:dyDescent="0.3">
      <c r="A31">
        <v>527</v>
      </c>
      <c r="B31" t="s">
        <v>316</v>
      </c>
      <c r="C31">
        <v>1</v>
      </c>
      <c r="D31">
        <v>2019</v>
      </c>
      <c r="E31">
        <v>3.209203</v>
      </c>
      <c r="F31">
        <v>662038.4</v>
      </c>
      <c r="G31">
        <v>30.070419999999999</v>
      </c>
      <c r="I31">
        <v>30.355699999999999</v>
      </c>
      <c r="J31" s="5">
        <v>3.2942742219747856E-2</v>
      </c>
      <c r="K31">
        <v>11.5</v>
      </c>
      <c r="L31">
        <v>78500000</v>
      </c>
      <c r="M31">
        <f t="shared" si="0"/>
        <v>6826086.9565217393</v>
      </c>
    </row>
    <row r="32" spans="1:13" x14ac:dyDescent="0.3">
      <c r="A32">
        <v>527</v>
      </c>
      <c r="B32" t="s">
        <v>316</v>
      </c>
      <c r="C32">
        <v>2</v>
      </c>
      <c r="D32">
        <v>2019</v>
      </c>
      <c r="E32">
        <v>3.209203</v>
      </c>
      <c r="F32">
        <v>69810.210000000006</v>
      </c>
      <c r="G32">
        <v>30.070419999999999</v>
      </c>
      <c r="I32">
        <v>23.239889999999999</v>
      </c>
      <c r="J32" s="5">
        <v>4.3029463564586583E-2</v>
      </c>
      <c r="K32">
        <v>11.5</v>
      </c>
      <c r="L32">
        <v>10500000</v>
      </c>
      <c r="M32">
        <f t="shared" si="0"/>
        <v>913043.47826086951</v>
      </c>
    </row>
    <row r="33" spans="1:13" x14ac:dyDescent="0.3">
      <c r="A33">
        <v>527</v>
      </c>
      <c r="B33" t="s">
        <v>316</v>
      </c>
      <c r="C33">
        <v>3</v>
      </c>
      <c r="D33">
        <v>2019</v>
      </c>
      <c r="E33">
        <v>3.209203</v>
      </c>
      <c r="F33">
        <v>65891.69</v>
      </c>
      <c r="G33">
        <v>30.070419999999999</v>
      </c>
      <c r="I33">
        <v>18.021830000000001</v>
      </c>
      <c r="J33" s="5">
        <v>5.5488260626140623E-2</v>
      </c>
      <c r="K33">
        <v>11.5</v>
      </c>
      <c r="L33">
        <v>8000000</v>
      </c>
      <c r="M33">
        <f t="shared" si="0"/>
        <v>695652.17391304346</v>
      </c>
    </row>
    <row r="34" spans="1:13" x14ac:dyDescent="0.3">
      <c r="A34">
        <v>527</v>
      </c>
      <c r="B34" t="s">
        <v>316</v>
      </c>
      <c r="C34" t="s">
        <v>403</v>
      </c>
      <c r="D34">
        <v>2019</v>
      </c>
      <c r="E34">
        <v>3.209203</v>
      </c>
      <c r="F34">
        <v>316572.7</v>
      </c>
      <c r="G34">
        <v>30.070419999999999</v>
      </c>
      <c r="I34">
        <v>3.9306290000000002</v>
      </c>
      <c r="J34" s="5">
        <v>0.25441220730829595</v>
      </c>
      <c r="K34">
        <v>79.3</v>
      </c>
      <c r="L34">
        <v>4000000</v>
      </c>
      <c r="M34">
        <f t="shared" si="0"/>
        <v>50441.361916771755</v>
      </c>
    </row>
    <row r="35" spans="1:13" x14ac:dyDescent="0.3">
      <c r="A35">
        <v>628</v>
      </c>
      <c r="B35" t="s">
        <v>23</v>
      </c>
      <c r="C35">
        <v>1</v>
      </c>
      <c r="D35">
        <v>2018</v>
      </c>
      <c r="E35">
        <v>4.5652619999999997</v>
      </c>
      <c r="F35">
        <v>1062957</v>
      </c>
      <c r="G35">
        <v>32.50723</v>
      </c>
      <c r="I35">
        <v>2.8639160000000001</v>
      </c>
      <c r="J35" s="5">
        <v>0.34917225225879528</v>
      </c>
      <c r="K35">
        <v>440.5</v>
      </c>
      <c r="L35">
        <v>0</v>
      </c>
      <c r="M35">
        <f t="shared" si="0"/>
        <v>0</v>
      </c>
    </row>
    <row r="36" spans="1:13" x14ac:dyDescent="0.3">
      <c r="A36">
        <v>628</v>
      </c>
      <c r="B36" t="s">
        <v>23</v>
      </c>
      <c r="C36">
        <v>2</v>
      </c>
      <c r="D36">
        <v>2018</v>
      </c>
      <c r="E36">
        <v>4.5652619999999997</v>
      </c>
      <c r="F36">
        <v>1455229</v>
      </c>
      <c r="G36">
        <v>32.50723</v>
      </c>
      <c r="I36">
        <v>2.829602</v>
      </c>
      <c r="J36" s="5">
        <v>0.35340659216384496</v>
      </c>
      <c r="K36">
        <v>523.79999999999995</v>
      </c>
      <c r="L36">
        <v>0</v>
      </c>
      <c r="M36">
        <f t="shared" si="0"/>
        <v>0</v>
      </c>
    </row>
    <row r="37" spans="1:13" x14ac:dyDescent="0.3">
      <c r="A37">
        <v>643</v>
      </c>
      <c r="B37" t="s">
        <v>317</v>
      </c>
      <c r="C37">
        <v>1</v>
      </c>
      <c r="D37">
        <v>2016</v>
      </c>
      <c r="E37">
        <v>4.5592940000000004</v>
      </c>
      <c r="F37">
        <v>593695.4</v>
      </c>
      <c r="G37">
        <v>32.50723</v>
      </c>
      <c r="I37">
        <v>2.909144</v>
      </c>
      <c r="J37" s="5">
        <v>0.34374372667698816</v>
      </c>
      <c r="K37">
        <v>149.6</v>
      </c>
      <c r="L37">
        <v>18000000</v>
      </c>
      <c r="M37">
        <f t="shared" si="0"/>
        <v>120320.85561497326</v>
      </c>
    </row>
    <row r="38" spans="1:13" x14ac:dyDescent="0.3">
      <c r="A38">
        <v>643</v>
      </c>
      <c r="B38" t="s">
        <v>317</v>
      </c>
      <c r="C38">
        <v>2</v>
      </c>
      <c r="D38">
        <v>2016</v>
      </c>
      <c r="E38">
        <v>4.5592940000000004</v>
      </c>
      <c r="F38">
        <v>588597.1</v>
      </c>
      <c r="G38">
        <v>32.50723</v>
      </c>
      <c r="I38">
        <v>2.921824</v>
      </c>
      <c r="J38" s="5">
        <v>0.3422519631572607</v>
      </c>
      <c r="K38">
        <v>190.4</v>
      </c>
      <c r="L38">
        <v>13500000</v>
      </c>
      <c r="M38">
        <f t="shared" si="0"/>
        <v>70903.361344537814</v>
      </c>
    </row>
    <row r="39" spans="1:13" x14ac:dyDescent="0.3">
      <c r="A39">
        <v>708</v>
      </c>
      <c r="B39" t="s">
        <v>318</v>
      </c>
      <c r="C39">
        <v>1</v>
      </c>
      <c r="D39">
        <v>2019</v>
      </c>
      <c r="E39">
        <v>3.7921390000000001</v>
      </c>
      <c r="F39">
        <v>342882.3</v>
      </c>
      <c r="G39">
        <v>26.69661</v>
      </c>
      <c r="I39">
        <v>3.145203</v>
      </c>
      <c r="J39" s="5">
        <v>0.31794450151548248</v>
      </c>
      <c r="K39">
        <v>125</v>
      </c>
      <c r="L39">
        <v>16000000</v>
      </c>
      <c r="M39">
        <f t="shared" si="0"/>
        <v>128000</v>
      </c>
    </row>
    <row r="40" spans="1:13" x14ac:dyDescent="0.3">
      <c r="A40">
        <v>708</v>
      </c>
      <c r="B40" t="s">
        <v>318</v>
      </c>
      <c r="C40">
        <v>2</v>
      </c>
      <c r="D40">
        <v>2019</v>
      </c>
      <c r="E40">
        <v>3.7921390000000001</v>
      </c>
      <c r="F40">
        <v>297074.40000000002</v>
      </c>
      <c r="G40">
        <v>26.69661</v>
      </c>
      <c r="I40">
        <v>3.0890879999999998</v>
      </c>
      <c r="J40" s="5">
        <v>0.3237201400542814</v>
      </c>
      <c r="K40">
        <v>125</v>
      </c>
      <c r="L40">
        <v>13000000</v>
      </c>
      <c r="M40">
        <f t="shared" si="0"/>
        <v>104000</v>
      </c>
    </row>
    <row r="41" spans="1:13" x14ac:dyDescent="0.3">
      <c r="A41">
        <v>708</v>
      </c>
      <c r="B41" t="s">
        <v>318</v>
      </c>
      <c r="C41">
        <v>3</v>
      </c>
      <c r="D41">
        <v>2019</v>
      </c>
      <c r="E41">
        <v>3.7921390000000001</v>
      </c>
      <c r="F41">
        <v>375199</v>
      </c>
      <c r="G41">
        <v>26.69661</v>
      </c>
      <c r="I41">
        <v>2.9055200000000001</v>
      </c>
      <c r="J41" s="5">
        <v>0.34417247170902282</v>
      </c>
      <c r="K41">
        <v>125</v>
      </c>
      <c r="L41">
        <v>15000000</v>
      </c>
      <c r="M41">
        <f t="shared" si="0"/>
        <v>120000</v>
      </c>
    </row>
    <row r="42" spans="1:13" x14ac:dyDescent="0.3">
      <c r="A42">
        <v>708</v>
      </c>
      <c r="B42" t="s">
        <v>318</v>
      </c>
      <c r="C42">
        <v>4</v>
      </c>
      <c r="D42">
        <v>2019</v>
      </c>
      <c r="E42">
        <v>3.7921390000000001</v>
      </c>
      <c r="F42">
        <v>1525411</v>
      </c>
      <c r="G42">
        <v>26.69661</v>
      </c>
      <c r="I42">
        <v>2.8976130000000002</v>
      </c>
      <c r="J42" s="5">
        <v>0.3451116487950599</v>
      </c>
      <c r="K42">
        <v>578</v>
      </c>
      <c r="L42">
        <v>52500000</v>
      </c>
      <c r="M42">
        <f t="shared" si="0"/>
        <v>90830.449826989614</v>
      </c>
    </row>
    <row r="43" spans="1:13" x14ac:dyDescent="0.3">
      <c r="A43">
        <v>709</v>
      </c>
      <c r="B43" t="s">
        <v>319</v>
      </c>
      <c r="C43">
        <v>1</v>
      </c>
      <c r="D43">
        <v>2015</v>
      </c>
      <c r="E43">
        <v>4.3391919999999997</v>
      </c>
      <c r="F43">
        <v>817375.4</v>
      </c>
      <c r="G43">
        <v>26.69661</v>
      </c>
      <c r="I43">
        <v>2.779493</v>
      </c>
      <c r="J43" s="5">
        <v>0.35977784437665433</v>
      </c>
      <c r="K43">
        <v>299.2</v>
      </c>
      <c r="L43">
        <v>27000000</v>
      </c>
      <c r="M43">
        <f t="shared" si="0"/>
        <v>90240.641711229953</v>
      </c>
    </row>
    <row r="44" spans="1:13" x14ac:dyDescent="0.3">
      <c r="A44">
        <v>709</v>
      </c>
      <c r="B44" t="s">
        <v>319</v>
      </c>
      <c r="C44">
        <v>2</v>
      </c>
      <c r="D44">
        <v>2013</v>
      </c>
      <c r="E44">
        <v>4.3391919999999997</v>
      </c>
      <c r="F44">
        <v>1102590</v>
      </c>
      <c r="G44">
        <v>26.69661</v>
      </c>
      <c r="I44">
        <v>2.8782100000000002</v>
      </c>
      <c r="J44" s="5">
        <v>0.34743816469263883</v>
      </c>
      <c r="K44">
        <v>359</v>
      </c>
      <c r="L44">
        <v>37000000</v>
      </c>
      <c r="M44">
        <f t="shared" si="0"/>
        <v>103064.06685236769</v>
      </c>
    </row>
    <row r="45" spans="1:13" x14ac:dyDescent="0.3">
      <c r="A45">
        <v>709</v>
      </c>
      <c r="B45" t="s">
        <v>319</v>
      </c>
      <c r="C45">
        <v>3</v>
      </c>
      <c r="D45">
        <v>2015</v>
      </c>
      <c r="E45">
        <v>4.3391919999999997</v>
      </c>
      <c r="F45">
        <v>1696002</v>
      </c>
      <c r="G45">
        <v>26.69661</v>
      </c>
      <c r="I45">
        <v>2.851102</v>
      </c>
      <c r="J45" s="5">
        <v>0.35074157290759855</v>
      </c>
      <c r="K45">
        <v>544</v>
      </c>
      <c r="L45">
        <v>66500000</v>
      </c>
      <c r="M45">
        <f t="shared" si="0"/>
        <v>122242.64705882352</v>
      </c>
    </row>
    <row r="46" spans="1:13" x14ac:dyDescent="0.3">
      <c r="A46">
        <v>709</v>
      </c>
      <c r="B46" t="s">
        <v>319</v>
      </c>
      <c r="C46">
        <v>4</v>
      </c>
      <c r="D46">
        <v>2015</v>
      </c>
      <c r="E46">
        <v>4.3391919999999997</v>
      </c>
      <c r="F46">
        <v>1555928</v>
      </c>
      <c r="G46">
        <v>26.69661</v>
      </c>
      <c r="I46">
        <v>2.5893929999999998</v>
      </c>
      <c r="J46" s="5">
        <v>0.38619089493174658</v>
      </c>
      <c r="K46">
        <v>544</v>
      </c>
      <c r="L46">
        <v>30000000</v>
      </c>
      <c r="M46">
        <f t="shared" si="0"/>
        <v>55147.058823529413</v>
      </c>
    </row>
    <row r="47" spans="1:13" x14ac:dyDescent="0.3">
      <c r="A47">
        <v>710</v>
      </c>
      <c r="B47" t="s">
        <v>320</v>
      </c>
      <c r="C47">
        <v>1</v>
      </c>
      <c r="D47">
        <v>2012</v>
      </c>
      <c r="E47">
        <v>5.2911450000000002</v>
      </c>
      <c r="F47">
        <v>930621.7</v>
      </c>
      <c r="G47">
        <v>26.69661</v>
      </c>
      <c r="I47">
        <v>2.8651520000000001</v>
      </c>
      <c r="J47" s="5">
        <v>0.34902162258756253</v>
      </c>
      <c r="K47">
        <v>299.2</v>
      </c>
      <c r="L47">
        <v>39500000</v>
      </c>
      <c r="M47">
        <f t="shared" si="0"/>
        <v>132018.71657754012</v>
      </c>
    </row>
    <row r="48" spans="1:13" x14ac:dyDescent="0.3">
      <c r="A48">
        <v>710</v>
      </c>
      <c r="B48" t="s">
        <v>320</v>
      </c>
      <c r="C48">
        <v>2</v>
      </c>
      <c r="D48">
        <v>2011</v>
      </c>
      <c r="E48">
        <v>5.2911450000000002</v>
      </c>
      <c r="F48">
        <v>1128769</v>
      </c>
      <c r="G48">
        <v>26.69661</v>
      </c>
      <c r="I48">
        <v>2.9861390000000001</v>
      </c>
      <c r="J48" s="5">
        <v>0.33488059330124953</v>
      </c>
      <c r="K48">
        <v>299.2</v>
      </c>
      <c r="L48">
        <v>58000000</v>
      </c>
      <c r="M48">
        <f t="shared" si="0"/>
        <v>193850.26737967916</v>
      </c>
    </row>
    <row r="49" spans="1:13" x14ac:dyDescent="0.3">
      <c r="A49">
        <v>728</v>
      </c>
      <c r="B49" t="s">
        <v>299</v>
      </c>
      <c r="C49">
        <v>1</v>
      </c>
      <c r="D49">
        <v>2015</v>
      </c>
      <c r="E49">
        <v>4.0724270000000002</v>
      </c>
      <c r="F49">
        <v>387979.9</v>
      </c>
      <c r="G49">
        <v>26.69661</v>
      </c>
      <c r="I49">
        <v>3.436693</v>
      </c>
      <c r="J49" s="5">
        <v>0.29097740182204229</v>
      </c>
      <c r="K49">
        <v>122.5</v>
      </c>
      <c r="L49">
        <v>25000000</v>
      </c>
      <c r="M49">
        <f t="shared" si="0"/>
        <v>204081.63265306121</v>
      </c>
    </row>
    <row r="50" spans="1:13" x14ac:dyDescent="0.3">
      <c r="A50">
        <v>728</v>
      </c>
      <c r="B50" t="s">
        <v>299</v>
      </c>
      <c r="C50">
        <v>2</v>
      </c>
      <c r="D50">
        <v>2015</v>
      </c>
      <c r="E50">
        <v>4.0724270000000002</v>
      </c>
      <c r="F50">
        <v>375365.3</v>
      </c>
      <c r="G50">
        <v>26.69661</v>
      </c>
      <c r="I50">
        <v>3.1402070000000002</v>
      </c>
      <c r="J50" s="5">
        <v>0.31845034419705448</v>
      </c>
      <c r="K50">
        <v>122.5</v>
      </c>
      <c r="L50">
        <v>20000000</v>
      </c>
      <c r="M50">
        <f t="shared" si="0"/>
        <v>163265.30612244899</v>
      </c>
    </row>
    <row r="51" spans="1:13" x14ac:dyDescent="0.3">
      <c r="A51">
        <v>728</v>
      </c>
      <c r="B51" t="s">
        <v>299</v>
      </c>
      <c r="C51">
        <v>3</v>
      </c>
      <c r="D51">
        <v>2015</v>
      </c>
      <c r="E51">
        <v>4.0724270000000002</v>
      </c>
      <c r="F51">
        <v>378880.8</v>
      </c>
      <c r="G51">
        <v>26.69661</v>
      </c>
      <c r="I51">
        <v>3.3000259999999999</v>
      </c>
      <c r="J51" s="5">
        <v>0.30302791553763514</v>
      </c>
      <c r="K51">
        <v>122.5</v>
      </c>
      <c r="L51">
        <v>18500000</v>
      </c>
      <c r="M51">
        <f t="shared" si="0"/>
        <v>151020.4081632653</v>
      </c>
    </row>
    <row r="52" spans="1:13" x14ac:dyDescent="0.3">
      <c r="A52">
        <v>728</v>
      </c>
      <c r="B52" t="s">
        <v>299</v>
      </c>
      <c r="C52">
        <v>4</v>
      </c>
      <c r="D52">
        <v>2015</v>
      </c>
      <c r="E52">
        <v>4.0724270000000002</v>
      </c>
      <c r="F52">
        <v>408132.3</v>
      </c>
      <c r="G52">
        <v>26.69661</v>
      </c>
      <c r="I52">
        <v>2.9032149999999999</v>
      </c>
      <c r="J52" s="5">
        <v>0.34444572654798217</v>
      </c>
      <c r="K52">
        <v>156.19999999999999</v>
      </c>
      <c r="L52">
        <v>20500000</v>
      </c>
      <c r="M52">
        <f t="shared" si="0"/>
        <v>131241.99743918056</v>
      </c>
    </row>
    <row r="53" spans="1:13" x14ac:dyDescent="0.3">
      <c r="A53">
        <v>728</v>
      </c>
      <c r="B53" t="s">
        <v>299</v>
      </c>
      <c r="C53">
        <v>5</v>
      </c>
      <c r="D53">
        <v>2015</v>
      </c>
      <c r="E53">
        <v>4.0724270000000002</v>
      </c>
      <c r="F53">
        <v>422309.3</v>
      </c>
      <c r="G53">
        <v>26.69661</v>
      </c>
      <c r="I53">
        <v>3.0610270000000002</v>
      </c>
      <c r="J53" s="5">
        <v>0.32668774238188686</v>
      </c>
      <c r="K53">
        <v>156.19999999999999</v>
      </c>
      <c r="L53">
        <v>23500000</v>
      </c>
      <c r="M53">
        <f t="shared" si="0"/>
        <v>150448.14340588989</v>
      </c>
    </row>
    <row r="54" spans="1:13" x14ac:dyDescent="0.3">
      <c r="A54">
        <v>733</v>
      </c>
      <c r="B54" t="s">
        <v>321</v>
      </c>
      <c r="C54">
        <v>2</v>
      </c>
      <c r="D54">
        <v>2015</v>
      </c>
      <c r="E54">
        <v>4.4573840000000002</v>
      </c>
      <c r="F54">
        <v>225419.1</v>
      </c>
      <c r="G54">
        <v>26.69661</v>
      </c>
      <c r="I54">
        <v>2.4734310000000002</v>
      </c>
      <c r="J54" s="5">
        <v>0.40429670364768611</v>
      </c>
      <c r="K54">
        <v>54.4</v>
      </c>
      <c r="L54">
        <v>6000000</v>
      </c>
      <c r="M54">
        <f t="shared" si="0"/>
        <v>110294.11764705883</v>
      </c>
    </row>
    <row r="55" spans="1:13" x14ac:dyDescent="0.3">
      <c r="A55">
        <v>733</v>
      </c>
      <c r="B55" t="s">
        <v>321</v>
      </c>
      <c r="C55">
        <v>3</v>
      </c>
      <c r="D55">
        <v>2015</v>
      </c>
      <c r="E55">
        <v>4.4573840000000002</v>
      </c>
      <c r="F55">
        <v>338955.1</v>
      </c>
      <c r="G55">
        <v>26.69661</v>
      </c>
      <c r="I55">
        <v>2.5678740000000002</v>
      </c>
      <c r="J55" s="5">
        <v>0.38942720709816758</v>
      </c>
      <c r="K55">
        <v>103.5</v>
      </c>
      <c r="L55">
        <v>8000000</v>
      </c>
      <c r="M55">
        <f t="shared" si="0"/>
        <v>77294.68599033817</v>
      </c>
    </row>
    <row r="56" spans="1:13" x14ac:dyDescent="0.3">
      <c r="A56">
        <v>733</v>
      </c>
      <c r="B56" t="s">
        <v>321</v>
      </c>
      <c r="C56" t="s">
        <v>404</v>
      </c>
      <c r="D56">
        <v>2015</v>
      </c>
      <c r="E56">
        <v>4.4573840000000002</v>
      </c>
      <c r="F56">
        <v>218111.8</v>
      </c>
      <c r="G56">
        <v>26.69661</v>
      </c>
      <c r="I56">
        <v>2.5057369999999999</v>
      </c>
      <c r="J56" s="5">
        <v>0.39908418162001841</v>
      </c>
      <c r="K56">
        <v>50</v>
      </c>
      <c r="L56">
        <v>7000000</v>
      </c>
      <c r="M56">
        <f t="shared" si="0"/>
        <v>140000</v>
      </c>
    </row>
    <row r="57" spans="1:13" x14ac:dyDescent="0.3">
      <c r="A57">
        <v>861</v>
      </c>
      <c r="B57" t="s">
        <v>322</v>
      </c>
      <c r="C57">
        <v>1</v>
      </c>
      <c r="D57">
        <v>2019</v>
      </c>
      <c r="E57">
        <v>1.958637</v>
      </c>
      <c r="F57">
        <v>1376021</v>
      </c>
      <c r="G57">
        <v>26.63785</v>
      </c>
      <c r="I57">
        <v>2.3993980000000001</v>
      </c>
      <c r="J57" s="5">
        <v>0.41677120677770008</v>
      </c>
      <c r="K57">
        <v>388.9</v>
      </c>
      <c r="L57">
        <v>0</v>
      </c>
      <c r="M57">
        <f t="shared" si="0"/>
        <v>0</v>
      </c>
    </row>
    <row r="58" spans="1:13" x14ac:dyDescent="0.3">
      <c r="A58">
        <v>861</v>
      </c>
      <c r="B58" t="s">
        <v>322</v>
      </c>
      <c r="C58">
        <v>2</v>
      </c>
      <c r="D58">
        <v>2019</v>
      </c>
      <c r="E58">
        <v>1.958637</v>
      </c>
      <c r="F58">
        <v>2501330</v>
      </c>
      <c r="G58">
        <v>26.63785</v>
      </c>
      <c r="I58">
        <v>2.0704349999999998</v>
      </c>
      <c r="J58" s="5">
        <v>0.48299028948023004</v>
      </c>
      <c r="K58">
        <v>616.5</v>
      </c>
      <c r="L58">
        <v>0</v>
      </c>
      <c r="M58">
        <f t="shared" si="0"/>
        <v>0</v>
      </c>
    </row>
    <row r="59" spans="1:13" x14ac:dyDescent="0.3">
      <c r="A59">
        <v>867</v>
      </c>
      <c r="B59" t="s">
        <v>323</v>
      </c>
      <c r="C59">
        <v>7</v>
      </c>
      <c r="D59">
        <v>2012</v>
      </c>
      <c r="E59">
        <v>1.958637</v>
      </c>
      <c r="F59">
        <v>787932</v>
      </c>
      <c r="G59">
        <v>26.63785</v>
      </c>
      <c r="I59">
        <v>2.0751360000000001</v>
      </c>
      <c r="J59" s="5">
        <v>0.48189612632617812</v>
      </c>
      <c r="K59">
        <v>239.3</v>
      </c>
      <c r="L59">
        <v>8000000</v>
      </c>
      <c r="M59">
        <f t="shared" si="0"/>
        <v>33430.83994985374</v>
      </c>
    </row>
    <row r="60" spans="1:13" x14ac:dyDescent="0.3">
      <c r="A60">
        <v>867</v>
      </c>
      <c r="B60" t="s">
        <v>323</v>
      </c>
      <c r="C60">
        <v>8</v>
      </c>
      <c r="D60">
        <v>2012</v>
      </c>
      <c r="E60">
        <v>1.958637</v>
      </c>
      <c r="F60">
        <v>1060208</v>
      </c>
      <c r="G60">
        <v>26.63785</v>
      </c>
      <c r="I60">
        <v>2.0546389999999999</v>
      </c>
      <c r="J60" s="5">
        <v>0.48670350363251164</v>
      </c>
      <c r="K60">
        <v>358.1</v>
      </c>
      <c r="L60">
        <v>9000000</v>
      </c>
      <c r="M60">
        <f t="shared" si="0"/>
        <v>25132.644512705945</v>
      </c>
    </row>
    <row r="61" spans="1:13" x14ac:dyDescent="0.3">
      <c r="A61">
        <v>884</v>
      </c>
      <c r="B61" t="s">
        <v>324</v>
      </c>
      <c r="C61">
        <v>1</v>
      </c>
      <c r="D61">
        <v>2010</v>
      </c>
      <c r="E61">
        <v>1.958637</v>
      </c>
      <c r="F61">
        <v>744244</v>
      </c>
      <c r="G61">
        <v>26.63785</v>
      </c>
      <c r="I61">
        <v>3.266362</v>
      </c>
      <c r="J61" s="5">
        <v>0.30615100224653607</v>
      </c>
      <c r="K61">
        <v>187.5</v>
      </c>
      <c r="L61">
        <v>37000000</v>
      </c>
      <c r="M61">
        <f t="shared" si="0"/>
        <v>197333.33333333334</v>
      </c>
    </row>
    <row r="62" spans="1:13" x14ac:dyDescent="0.3">
      <c r="A62">
        <v>884</v>
      </c>
      <c r="B62" t="s">
        <v>324</v>
      </c>
      <c r="C62">
        <v>2</v>
      </c>
      <c r="D62">
        <v>2010</v>
      </c>
      <c r="E62">
        <v>1.958637</v>
      </c>
      <c r="F62">
        <v>761444</v>
      </c>
      <c r="G62">
        <v>26.63785</v>
      </c>
      <c r="I62">
        <v>2.9044310000000002</v>
      </c>
      <c r="J62" s="5">
        <v>0.34430151723349595</v>
      </c>
      <c r="K62">
        <v>183.7</v>
      </c>
      <c r="L62">
        <v>33000000</v>
      </c>
      <c r="M62">
        <f t="shared" si="0"/>
        <v>179640.71856287427</v>
      </c>
    </row>
    <row r="63" spans="1:13" x14ac:dyDescent="0.3">
      <c r="A63">
        <v>884</v>
      </c>
      <c r="B63" t="s">
        <v>324</v>
      </c>
      <c r="C63">
        <v>3</v>
      </c>
      <c r="D63">
        <v>2015</v>
      </c>
      <c r="E63">
        <v>1.958637</v>
      </c>
      <c r="F63">
        <v>13744.35</v>
      </c>
      <c r="G63">
        <v>26.63785</v>
      </c>
      <c r="I63">
        <v>1.4423060000000001</v>
      </c>
      <c r="J63" s="5">
        <v>0.69333414684539896</v>
      </c>
      <c r="K63">
        <v>299.2</v>
      </c>
      <c r="L63">
        <v>0</v>
      </c>
      <c r="M63">
        <f t="shared" si="0"/>
        <v>0</v>
      </c>
    </row>
    <row r="64" spans="1:13" x14ac:dyDescent="0.3">
      <c r="A64">
        <v>886</v>
      </c>
      <c r="B64" t="s">
        <v>325</v>
      </c>
      <c r="C64">
        <v>19</v>
      </c>
      <c r="D64">
        <v>2012</v>
      </c>
      <c r="E64">
        <v>1.958637</v>
      </c>
      <c r="F64">
        <v>1314252</v>
      </c>
      <c r="G64">
        <v>26.63785</v>
      </c>
      <c r="I64">
        <v>2.173394</v>
      </c>
      <c r="J64" s="5">
        <v>0.46010985582917774</v>
      </c>
      <c r="K64">
        <v>374</v>
      </c>
      <c r="L64">
        <v>18500000</v>
      </c>
      <c r="M64">
        <f t="shared" si="0"/>
        <v>49465.240641711229</v>
      </c>
    </row>
    <row r="65" spans="1:13" x14ac:dyDescent="0.3">
      <c r="A65">
        <v>891</v>
      </c>
      <c r="B65" t="s">
        <v>326</v>
      </c>
      <c r="C65">
        <v>6</v>
      </c>
      <c r="D65">
        <v>2019</v>
      </c>
      <c r="E65">
        <v>1.958637</v>
      </c>
      <c r="F65">
        <v>1999353</v>
      </c>
      <c r="G65">
        <v>26.63785</v>
      </c>
      <c r="I65">
        <v>2.2320000000000002</v>
      </c>
      <c r="J65" s="5">
        <v>0.4480286738351254</v>
      </c>
      <c r="K65">
        <v>488</v>
      </c>
      <c r="L65">
        <v>0</v>
      </c>
      <c r="M65">
        <f t="shared" si="0"/>
        <v>0</v>
      </c>
    </row>
    <row r="66" spans="1:13" x14ac:dyDescent="0.3">
      <c r="A66">
        <v>892</v>
      </c>
      <c r="B66" t="s">
        <v>327</v>
      </c>
      <c r="C66">
        <v>1</v>
      </c>
      <c r="D66">
        <v>2019</v>
      </c>
      <c r="E66">
        <v>1.958637</v>
      </c>
      <c r="F66">
        <v>381242</v>
      </c>
      <c r="G66">
        <v>26.63785</v>
      </c>
      <c r="I66">
        <v>2.3921730000000001</v>
      </c>
      <c r="J66" s="5">
        <v>0.41802996689620692</v>
      </c>
      <c r="K66">
        <v>75</v>
      </c>
      <c r="L66">
        <v>500000</v>
      </c>
      <c r="M66">
        <f t="shared" si="0"/>
        <v>6666.666666666667</v>
      </c>
    </row>
    <row r="67" spans="1:13" x14ac:dyDescent="0.3">
      <c r="A67">
        <v>892</v>
      </c>
      <c r="B67" t="s">
        <v>327</v>
      </c>
      <c r="C67">
        <v>2</v>
      </c>
      <c r="D67">
        <v>2019</v>
      </c>
      <c r="E67">
        <v>1.958637</v>
      </c>
      <c r="F67">
        <v>1088362</v>
      </c>
      <c r="G67">
        <v>26.63785</v>
      </c>
      <c r="I67">
        <v>2.1189879999999999</v>
      </c>
      <c r="J67" s="5">
        <v>0.47192338984458621</v>
      </c>
      <c r="K67">
        <v>231.3</v>
      </c>
      <c r="L67">
        <v>0</v>
      </c>
      <c r="M67">
        <f t="shared" ref="M67:M130" si="1">L67/K67</f>
        <v>0</v>
      </c>
    </row>
    <row r="68" spans="1:13" x14ac:dyDescent="0.3">
      <c r="A68">
        <v>897</v>
      </c>
      <c r="B68" t="s">
        <v>328</v>
      </c>
      <c r="C68">
        <v>2</v>
      </c>
      <c r="D68">
        <v>2011</v>
      </c>
      <c r="E68">
        <v>1.958637</v>
      </c>
      <c r="F68">
        <v>515893.5</v>
      </c>
      <c r="G68">
        <v>26.63785</v>
      </c>
      <c r="I68">
        <v>3.5256370000000001</v>
      </c>
      <c r="J68" s="5">
        <v>0.28363668749789045</v>
      </c>
      <c r="K68">
        <v>108.8</v>
      </c>
      <c r="L68">
        <v>29000000</v>
      </c>
      <c r="M68">
        <f t="shared" si="1"/>
        <v>266544.11764705885</v>
      </c>
    </row>
    <row r="69" spans="1:13" x14ac:dyDescent="0.3">
      <c r="A69">
        <v>897</v>
      </c>
      <c r="B69" t="s">
        <v>328</v>
      </c>
      <c r="C69" t="s">
        <v>404</v>
      </c>
      <c r="D69">
        <v>2011</v>
      </c>
      <c r="E69">
        <v>1.958637</v>
      </c>
      <c r="F69">
        <v>252745</v>
      </c>
      <c r="G69">
        <v>26.63785</v>
      </c>
      <c r="I69">
        <v>2.59138</v>
      </c>
      <c r="J69" s="5">
        <v>0.38589477421296758</v>
      </c>
      <c r="K69">
        <v>73.5</v>
      </c>
      <c r="L69">
        <v>6000000</v>
      </c>
      <c r="M69">
        <f t="shared" si="1"/>
        <v>81632.653061224497</v>
      </c>
    </row>
    <row r="70" spans="1:13" x14ac:dyDescent="0.3">
      <c r="A70">
        <v>898</v>
      </c>
      <c r="B70" t="s">
        <v>329</v>
      </c>
      <c r="C70">
        <v>4</v>
      </c>
      <c r="D70">
        <v>2016</v>
      </c>
      <c r="E70">
        <v>1.958637</v>
      </c>
      <c r="F70">
        <v>608173.5</v>
      </c>
      <c r="G70">
        <v>26.63785</v>
      </c>
      <c r="I70">
        <v>2.8252109999999999</v>
      </c>
      <c r="J70" s="5">
        <v>0.35395586382751593</v>
      </c>
      <c r="K70">
        <v>112.5</v>
      </c>
      <c r="L70">
        <v>6000000</v>
      </c>
      <c r="M70">
        <f t="shared" si="1"/>
        <v>53333.333333333336</v>
      </c>
    </row>
    <row r="71" spans="1:13" x14ac:dyDescent="0.3">
      <c r="A71">
        <v>898</v>
      </c>
      <c r="B71" t="s">
        <v>329</v>
      </c>
      <c r="C71">
        <v>5</v>
      </c>
      <c r="D71">
        <v>2016</v>
      </c>
      <c r="E71">
        <v>1.958637</v>
      </c>
      <c r="F71">
        <v>2221379</v>
      </c>
      <c r="G71">
        <v>26.63785</v>
      </c>
      <c r="I71">
        <v>2.5843250000000002</v>
      </c>
      <c r="J71" s="5">
        <v>0.38694823599972911</v>
      </c>
      <c r="K71">
        <v>387.6</v>
      </c>
      <c r="L71">
        <v>0</v>
      </c>
      <c r="M71">
        <f t="shared" si="1"/>
        <v>0</v>
      </c>
    </row>
    <row r="72" spans="1:13" x14ac:dyDescent="0.3">
      <c r="A72">
        <v>988</v>
      </c>
      <c r="B72" t="s">
        <v>330</v>
      </c>
      <c r="C72">
        <v>1</v>
      </c>
      <c r="D72">
        <v>2015</v>
      </c>
      <c r="E72">
        <v>2.6753849999999999</v>
      </c>
      <c r="F72">
        <v>237435.3</v>
      </c>
      <c r="G72">
        <v>83.111999999999995</v>
      </c>
      <c r="I72">
        <v>3.0195829999999999</v>
      </c>
      <c r="J72" s="5">
        <v>0.33117155580754032</v>
      </c>
      <c r="K72">
        <v>152.5</v>
      </c>
      <c r="L72">
        <v>4000000</v>
      </c>
      <c r="M72">
        <f t="shared" si="1"/>
        <v>26229.508196721312</v>
      </c>
    </row>
    <row r="73" spans="1:13" x14ac:dyDescent="0.3">
      <c r="A73">
        <v>988</v>
      </c>
      <c r="B73" t="s">
        <v>330</v>
      </c>
      <c r="C73">
        <v>2</v>
      </c>
      <c r="D73">
        <v>2015</v>
      </c>
      <c r="E73">
        <v>2.6753849999999999</v>
      </c>
      <c r="F73">
        <v>285838.90000000002</v>
      </c>
      <c r="G73">
        <v>83.111999999999995</v>
      </c>
      <c r="I73">
        <v>2.663313</v>
      </c>
      <c r="J73" s="5">
        <v>0.37547220322958658</v>
      </c>
      <c r="K73">
        <v>152.5</v>
      </c>
      <c r="L73">
        <v>0</v>
      </c>
      <c r="M73">
        <f t="shared" si="1"/>
        <v>0</v>
      </c>
    </row>
    <row r="74" spans="1:13" x14ac:dyDescent="0.3">
      <c r="A74">
        <v>988</v>
      </c>
      <c r="B74" t="s">
        <v>330</v>
      </c>
      <c r="C74">
        <v>3</v>
      </c>
      <c r="D74">
        <v>2015</v>
      </c>
      <c r="E74">
        <v>2.6753849999999999</v>
      </c>
      <c r="F74">
        <v>602882.19999999995</v>
      </c>
      <c r="G74">
        <v>83.111999999999995</v>
      </c>
      <c r="I74">
        <v>2.6806920000000001</v>
      </c>
      <c r="J74" s="5">
        <v>0.37303800660426484</v>
      </c>
      <c r="K74">
        <v>215.4</v>
      </c>
      <c r="L74">
        <v>14000000</v>
      </c>
      <c r="M74">
        <f t="shared" si="1"/>
        <v>64995.357474466109</v>
      </c>
    </row>
    <row r="75" spans="1:13" x14ac:dyDescent="0.3">
      <c r="A75">
        <v>988</v>
      </c>
      <c r="B75" t="s">
        <v>330</v>
      </c>
      <c r="C75">
        <v>4</v>
      </c>
      <c r="D75">
        <v>2015</v>
      </c>
      <c r="E75">
        <v>2.6753849999999999</v>
      </c>
      <c r="F75">
        <v>1389026</v>
      </c>
      <c r="G75">
        <v>83.111999999999995</v>
      </c>
      <c r="I75">
        <v>2.2703319999999998</v>
      </c>
      <c r="J75" s="5">
        <v>0.44046421404446578</v>
      </c>
      <c r="K75">
        <v>579.70000000000005</v>
      </c>
      <c r="L75">
        <v>0</v>
      </c>
      <c r="M75">
        <f t="shared" si="1"/>
        <v>0</v>
      </c>
    </row>
    <row r="76" spans="1:13" x14ac:dyDescent="0.3">
      <c r="A76">
        <v>991</v>
      </c>
      <c r="B76" t="s">
        <v>331</v>
      </c>
      <c r="C76">
        <v>3</v>
      </c>
      <c r="D76">
        <v>2016</v>
      </c>
      <c r="E76">
        <v>2.5298319999999999</v>
      </c>
      <c r="F76">
        <v>23671.1</v>
      </c>
      <c r="G76">
        <v>83.111999999999995</v>
      </c>
      <c r="I76">
        <v>2.9277169999999999</v>
      </c>
      <c r="J76" s="5">
        <v>0.34156306774186168</v>
      </c>
      <c r="K76">
        <v>50</v>
      </c>
      <c r="L76">
        <v>0</v>
      </c>
      <c r="M76">
        <f t="shared" si="1"/>
        <v>0</v>
      </c>
    </row>
    <row r="77" spans="1:13" x14ac:dyDescent="0.3">
      <c r="A77">
        <v>991</v>
      </c>
      <c r="B77" t="s">
        <v>331</v>
      </c>
      <c r="C77">
        <v>4</v>
      </c>
      <c r="D77">
        <v>2016</v>
      </c>
      <c r="E77">
        <v>2.5298319999999999</v>
      </c>
      <c r="F77">
        <v>40043</v>
      </c>
      <c r="G77">
        <v>83.111999999999995</v>
      </c>
      <c r="I77">
        <v>2.4104709999999998</v>
      </c>
      <c r="J77" s="5">
        <v>0.41485668153651301</v>
      </c>
      <c r="K77">
        <v>69</v>
      </c>
      <c r="L77">
        <v>0</v>
      </c>
      <c r="M77">
        <f t="shared" si="1"/>
        <v>0</v>
      </c>
    </row>
    <row r="78" spans="1:13" x14ac:dyDescent="0.3">
      <c r="A78">
        <v>991</v>
      </c>
      <c r="B78" t="s">
        <v>331</v>
      </c>
      <c r="C78">
        <v>5</v>
      </c>
      <c r="D78">
        <v>2016</v>
      </c>
      <c r="E78">
        <v>2.5298319999999999</v>
      </c>
      <c r="F78">
        <v>19846.689999999999</v>
      </c>
      <c r="G78">
        <v>83.111999999999995</v>
      </c>
      <c r="I78">
        <v>2.4996740000000002</v>
      </c>
      <c r="J78" s="5">
        <v>0.40005216680255101</v>
      </c>
      <c r="K78">
        <v>69</v>
      </c>
      <c r="L78">
        <v>0</v>
      </c>
      <c r="M78">
        <f t="shared" si="1"/>
        <v>0</v>
      </c>
    </row>
    <row r="79" spans="1:13" x14ac:dyDescent="0.3">
      <c r="A79">
        <v>991</v>
      </c>
      <c r="B79" t="s">
        <v>331</v>
      </c>
      <c r="C79">
        <v>6</v>
      </c>
      <c r="D79">
        <v>2016</v>
      </c>
      <c r="E79">
        <v>2.5298319999999999</v>
      </c>
      <c r="F79">
        <v>37609.519999999997</v>
      </c>
      <c r="G79">
        <v>83.111999999999995</v>
      </c>
      <c r="I79">
        <v>2.1202779999999999</v>
      </c>
      <c r="J79" s="5">
        <v>0.47163626656504481</v>
      </c>
      <c r="K79">
        <v>113.6</v>
      </c>
      <c r="L79">
        <v>0</v>
      </c>
      <c r="M79">
        <f t="shared" si="1"/>
        <v>0</v>
      </c>
    </row>
    <row r="80" spans="1:13" x14ac:dyDescent="0.3">
      <c r="A80">
        <v>995</v>
      </c>
      <c r="B80" t="s">
        <v>332</v>
      </c>
      <c r="C80">
        <v>7</v>
      </c>
      <c r="D80">
        <v>2018</v>
      </c>
      <c r="E80">
        <v>2.2351239999999999</v>
      </c>
      <c r="F80">
        <v>797994.4</v>
      </c>
      <c r="G80">
        <v>83.111999999999995</v>
      </c>
      <c r="I80">
        <v>2.9465979999999998</v>
      </c>
      <c r="J80" s="5">
        <v>0.33937442433613274</v>
      </c>
      <c r="K80">
        <v>190.4</v>
      </c>
      <c r="L80">
        <v>11500000</v>
      </c>
      <c r="M80">
        <f t="shared" si="1"/>
        <v>60399.159663865546</v>
      </c>
    </row>
    <row r="81" spans="1:13" x14ac:dyDescent="0.3">
      <c r="A81">
        <v>995</v>
      </c>
      <c r="B81" t="s">
        <v>332</v>
      </c>
      <c r="C81">
        <v>8</v>
      </c>
      <c r="D81">
        <v>2018</v>
      </c>
      <c r="E81">
        <v>2.2351239999999999</v>
      </c>
      <c r="F81">
        <v>1144656</v>
      </c>
      <c r="G81">
        <v>83.111999999999995</v>
      </c>
      <c r="I81">
        <v>2.6779259999999998</v>
      </c>
      <c r="J81" s="5">
        <v>0.37342331341493384</v>
      </c>
      <c r="K81">
        <v>413.1</v>
      </c>
      <c r="L81">
        <v>0</v>
      </c>
      <c r="M81">
        <f t="shared" si="1"/>
        <v>0</v>
      </c>
    </row>
    <row r="82" spans="1:13" x14ac:dyDescent="0.3">
      <c r="A82">
        <v>1004</v>
      </c>
      <c r="B82" t="s">
        <v>35</v>
      </c>
      <c r="C82">
        <v>7</v>
      </c>
      <c r="D82">
        <v>2011</v>
      </c>
      <c r="E82">
        <v>2.31053</v>
      </c>
      <c r="F82">
        <v>98968.05</v>
      </c>
      <c r="G82">
        <v>83.111999999999995</v>
      </c>
      <c r="I82">
        <v>8.4694640000000003</v>
      </c>
      <c r="J82" s="5">
        <v>0.11807122623108145</v>
      </c>
      <c r="K82">
        <v>40.200000000000003</v>
      </c>
      <c r="L82">
        <v>11000000</v>
      </c>
      <c r="M82">
        <f t="shared" si="1"/>
        <v>273631.84079601988</v>
      </c>
    </row>
    <row r="83" spans="1:13" x14ac:dyDescent="0.3">
      <c r="A83">
        <v>1004</v>
      </c>
      <c r="B83" t="s">
        <v>35</v>
      </c>
      <c r="C83">
        <v>8</v>
      </c>
      <c r="D83">
        <v>2011</v>
      </c>
      <c r="E83">
        <v>2.31053</v>
      </c>
      <c r="F83">
        <v>31185.599999999999</v>
      </c>
      <c r="G83">
        <v>83.111999999999995</v>
      </c>
      <c r="I83">
        <v>2.5608719999999998</v>
      </c>
      <c r="J83" s="5">
        <v>0.39049198866636053</v>
      </c>
      <c r="K83">
        <v>69</v>
      </c>
      <c r="L83">
        <v>0</v>
      </c>
      <c r="M83">
        <f t="shared" si="1"/>
        <v>0</v>
      </c>
    </row>
    <row r="84" spans="1:13" x14ac:dyDescent="0.3">
      <c r="A84">
        <v>1008</v>
      </c>
      <c r="B84" t="s">
        <v>333</v>
      </c>
      <c r="C84">
        <v>1</v>
      </c>
      <c r="D84">
        <v>2012</v>
      </c>
      <c r="E84">
        <v>3.0446780000000002</v>
      </c>
      <c r="F84">
        <v>386805.1</v>
      </c>
      <c r="G84">
        <v>83.111999999999995</v>
      </c>
      <c r="I84">
        <v>3.2655609999999999</v>
      </c>
      <c r="J84" s="5">
        <v>0.30622609713920518</v>
      </c>
      <c r="K84">
        <v>150</v>
      </c>
      <c r="L84">
        <v>26500000</v>
      </c>
      <c r="M84">
        <f t="shared" si="1"/>
        <v>176666.66666666666</v>
      </c>
    </row>
    <row r="85" spans="1:13" x14ac:dyDescent="0.3">
      <c r="A85">
        <v>1008</v>
      </c>
      <c r="B85" t="s">
        <v>333</v>
      </c>
      <c r="C85">
        <v>3</v>
      </c>
      <c r="D85">
        <v>2012</v>
      </c>
      <c r="E85">
        <v>3.0446780000000002</v>
      </c>
      <c r="F85">
        <v>438164.9</v>
      </c>
      <c r="G85">
        <v>83.111999999999995</v>
      </c>
      <c r="I85">
        <v>3.1089950000000002</v>
      </c>
      <c r="J85" s="5">
        <v>0.32164734906296083</v>
      </c>
      <c r="K85">
        <v>150</v>
      </c>
      <c r="L85">
        <v>31500000</v>
      </c>
      <c r="M85">
        <f t="shared" si="1"/>
        <v>210000</v>
      </c>
    </row>
    <row r="86" spans="1:13" x14ac:dyDescent="0.3">
      <c r="A86">
        <v>1010</v>
      </c>
      <c r="B86" t="s">
        <v>334</v>
      </c>
      <c r="C86">
        <v>2</v>
      </c>
      <c r="D86">
        <v>2016</v>
      </c>
      <c r="E86">
        <v>2.5727039999999999</v>
      </c>
      <c r="F86">
        <v>215687.5</v>
      </c>
      <c r="G86">
        <v>83.111999999999995</v>
      </c>
      <c r="I86">
        <v>3.0095040000000002</v>
      </c>
      <c r="J86" s="5">
        <v>0.33228066817655</v>
      </c>
      <c r="K86">
        <v>112.5</v>
      </c>
      <c r="L86">
        <v>0</v>
      </c>
      <c r="M86">
        <f t="shared" si="1"/>
        <v>0</v>
      </c>
    </row>
    <row r="87" spans="1:13" x14ac:dyDescent="0.3">
      <c r="A87">
        <v>1010</v>
      </c>
      <c r="B87" t="s">
        <v>334</v>
      </c>
      <c r="C87">
        <v>3</v>
      </c>
      <c r="D87">
        <v>2016</v>
      </c>
      <c r="E87">
        <v>2.5727039999999999</v>
      </c>
      <c r="F87">
        <v>315650</v>
      </c>
      <c r="G87">
        <v>83.111999999999995</v>
      </c>
      <c r="I87">
        <v>2.8679679999999999</v>
      </c>
      <c r="J87" s="5">
        <v>0.34867892528786931</v>
      </c>
      <c r="K87">
        <v>123.2</v>
      </c>
      <c r="L87">
        <v>10500000</v>
      </c>
      <c r="M87">
        <f t="shared" si="1"/>
        <v>85227.272727272721</v>
      </c>
    </row>
    <row r="88" spans="1:13" x14ac:dyDescent="0.3">
      <c r="A88">
        <v>1010</v>
      </c>
      <c r="B88" t="s">
        <v>334</v>
      </c>
      <c r="C88">
        <v>4</v>
      </c>
      <c r="D88">
        <v>2016</v>
      </c>
      <c r="E88">
        <v>2.5727039999999999</v>
      </c>
      <c r="F88">
        <v>385400</v>
      </c>
      <c r="G88">
        <v>83.111999999999995</v>
      </c>
      <c r="I88">
        <v>2.854034</v>
      </c>
      <c r="J88" s="5">
        <v>0.35038124983794866</v>
      </c>
      <c r="K88">
        <v>112.5</v>
      </c>
      <c r="L88">
        <v>0</v>
      </c>
      <c r="M88">
        <f t="shared" si="1"/>
        <v>0</v>
      </c>
    </row>
    <row r="89" spans="1:13" x14ac:dyDescent="0.3">
      <c r="A89">
        <v>1010</v>
      </c>
      <c r="B89" t="s">
        <v>334</v>
      </c>
      <c r="C89">
        <v>5</v>
      </c>
      <c r="D89">
        <v>2016</v>
      </c>
      <c r="E89">
        <v>2.5727039999999999</v>
      </c>
      <c r="F89">
        <v>209167.4</v>
      </c>
      <c r="G89">
        <v>83.111999999999995</v>
      </c>
      <c r="I89">
        <v>3.0582850000000001</v>
      </c>
      <c r="J89" s="5">
        <v>0.32698064438075586</v>
      </c>
      <c r="K89">
        <v>125</v>
      </c>
      <c r="L89">
        <v>3000000</v>
      </c>
      <c r="M89">
        <f t="shared" si="1"/>
        <v>24000</v>
      </c>
    </row>
    <row r="90" spans="1:13" x14ac:dyDescent="0.3">
      <c r="A90">
        <v>1010</v>
      </c>
      <c r="B90" t="s">
        <v>334</v>
      </c>
      <c r="C90">
        <v>6</v>
      </c>
      <c r="D90">
        <v>2016</v>
      </c>
      <c r="E90">
        <v>2.5727039999999999</v>
      </c>
      <c r="F90">
        <v>1548978</v>
      </c>
      <c r="G90">
        <v>83.111999999999995</v>
      </c>
      <c r="I90">
        <v>2.7158449999999998</v>
      </c>
      <c r="J90" s="5">
        <v>0.36820952594864587</v>
      </c>
      <c r="K90">
        <v>387</v>
      </c>
      <c r="L90">
        <v>0</v>
      </c>
      <c r="M90">
        <f t="shared" si="1"/>
        <v>0</v>
      </c>
    </row>
    <row r="91" spans="1:13" x14ac:dyDescent="0.3">
      <c r="A91">
        <v>1043</v>
      </c>
      <c r="B91" t="s">
        <v>335</v>
      </c>
      <c r="C91">
        <v>1</v>
      </c>
      <c r="D91">
        <v>2015</v>
      </c>
      <c r="E91">
        <v>2.493601</v>
      </c>
      <c r="F91">
        <v>52648.22</v>
      </c>
      <c r="G91">
        <v>83.111999999999995</v>
      </c>
      <c r="I91">
        <v>2.4289299999999998</v>
      </c>
      <c r="J91" s="5">
        <v>0.41170391900960507</v>
      </c>
      <c r="K91">
        <v>116.6</v>
      </c>
      <c r="L91">
        <v>0</v>
      </c>
      <c r="M91">
        <f t="shared" si="1"/>
        <v>0</v>
      </c>
    </row>
    <row r="92" spans="1:13" x14ac:dyDescent="0.3">
      <c r="A92">
        <v>1043</v>
      </c>
      <c r="B92" t="s">
        <v>335</v>
      </c>
      <c r="C92">
        <v>2</v>
      </c>
      <c r="D92">
        <v>2015</v>
      </c>
      <c r="E92">
        <v>2.493601</v>
      </c>
      <c r="F92">
        <v>48321.14</v>
      </c>
      <c r="G92">
        <v>83.111999999999995</v>
      </c>
      <c r="I92">
        <v>2.3891930000000001</v>
      </c>
      <c r="J92" s="5">
        <v>0.4185513686001926</v>
      </c>
      <c r="K92">
        <v>116.6</v>
      </c>
      <c r="L92">
        <v>0</v>
      </c>
      <c r="M92">
        <f t="shared" si="1"/>
        <v>0</v>
      </c>
    </row>
    <row r="93" spans="1:13" x14ac:dyDescent="0.3">
      <c r="A93">
        <v>1047</v>
      </c>
      <c r="B93" t="s">
        <v>38</v>
      </c>
      <c r="C93">
        <v>3</v>
      </c>
      <c r="D93">
        <v>2013</v>
      </c>
      <c r="E93">
        <v>1.687438</v>
      </c>
      <c r="F93">
        <v>121722.5</v>
      </c>
      <c r="G93">
        <v>22.522449999999999</v>
      </c>
      <c r="I93">
        <v>3.191427</v>
      </c>
      <c r="J93" s="5">
        <v>0.31333945598630331</v>
      </c>
      <c r="K93">
        <v>37.5</v>
      </c>
      <c r="L93">
        <v>10500000</v>
      </c>
      <c r="M93">
        <f t="shared" si="1"/>
        <v>280000</v>
      </c>
    </row>
    <row r="94" spans="1:13" x14ac:dyDescent="0.3">
      <c r="A94">
        <v>1081</v>
      </c>
      <c r="B94" t="s">
        <v>243</v>
      </c>
      <c r="C94" t="s">
        <v>405</v>
      </c>
      <c r="D94">
        <v>2013</v>
      </c>
      <c r="E94">
        <v>1.7819719999999999</v>
      </c>
      <c r="F94">
        <v>119068.2</v>
      </c>
      <c r="G94">
        <v>22.522449999999999</v>
      </c>
      <c r="I94">
        <v>23.67257</v>
      </c>
      <c r="J94" s="5">
        <v>4.2242984179579994E-2</v>
      </c>
      <c r="K94">
        <v>5</v>
      </c>
      <c r="L94">
        <v>14000000</v>
      </c>
      <c r="M94">
        <f t="shared" si="1"/>
        <v>2800000</v>
      </c>
    </row>
    <row r="95" spans="1:13" x14ac:dyDescent="0.3">
      <c r="A95">
        <v>1082</v>
      </c>
      <c r="B95" t="s">
        <v>40</v>
      </c>
      <c r="C95">
        <v>1</v>
      </c>
      <c r="D95">
        <v>2015</v>
      </c>
      <c r="E95">
        <v>1.348508</v>
      </c>
      <c r="F95">
        <v>265427.8</v>
      </c>
      <c r="G95">
        <v>22.522449999999999</v>
      </c>
      <c r="I95">
        <v>3.4307300000000001</v>
      </c>
      <c r="J95" s="5">
        <v>0.2914831537311301</v>
      </c>
      <c r="K95">
        <v>49</v>
      </c>
      <c r="L95">
        <v>8000000</v>
      </c>
      <c r="M95">
        <f t="shared" si="1"/>
        <v>163265.30612244899</v>
      </c>
    </row>
    <row r="96" spans="1:13" x14ac:dyDescent="0.3">
      <c r="A96">
        <v>1082</v>
      </c>
      <c r="B96" t="s">
        <v>40</v>
      </c>
      <c r="C96">
        <v>2</v>
      </c>
      <c r="D96">
        <v>2015</v>
      </c>
      <c r="E96">
        <v>1.348508</v>
      </c>
      <c r="F96">
        <v>459685.3</v>
      </c>
      <c r="G96">
        <v>22.522449999999999</v>
      </c>
      <c r="I96">
        <v>2.8222269999999998</v>
      </c>
      <c r="J96" s="5">
        <v>0.35433010881123311</v>
      </c>
      <c r="K96">
        <v>81.599999999999994</v>
      </c>
      <c r="L96">
        <v>2500000</v>
      </c>
      <c r="M96">
        <f t="shared" si="1"/>
        <v>30637.254901960787</v>
      </c>
    </row>
    <row r="97" spans="1:13" x14ac:dyDescent="0.3">
      <c r="A97">
        <v>1091</v>
      </c>
      <c r="B97" t="s">
        <v>41</v>
      </c>
      <c r="C97">
        <v>1</v>
      </c>
      <c r="D97">
        <v>2016</v>
      </c>
      <c r="E97">
        <v>1.837145</v>
      </c>
      <c r="F97">
        <v>626472.80000000005</v>
      </c>
      <c r="G97">
        <v>22.522449999999999</v>
      </c>
      <c r="I97">
        <v>2.8944390000000002</v>
      </c>
      <c r="J97" s="5">
        <v>0.34549009324432123</v>
      </c>
      <c r="K97">
        <v>147</v>
      </c>
      <c r="L97">
        <v>2000000</v>
      </c>
      <c r="M97">
        <f t="shared" si="1"/>
        <v>13605.442176870749</v>
      </c>
    </row>
    <row r="98" spans="1:13" x14ac:dyDescent="0.3">
      <c r="A98">
        <v>1091</v>
      </c>
      <c r="B98" t="s">
        <v>41</v>
      </c>
      <c r="C98">
        <v>2</v>
      </c>
      <c r="D98">
        <v>2016</v>
      </c>
      <c r="E98">
        <v>1.837145</v>
      </c>
      <c r="F98">
        <v>1244487</v>
      </c>
      <c r="G98">
        <v>22.522449999999999</v>
      </c>
      <c r="I98">
        <v>2.694769</v>
      </c>
      <c r="J98" s="5">
        <v>0.37108932157079144</v>
      </c>
      <c r="K98">
        <v>349.2</v>
      </c>
      <c r="L98">
        <v>0</v>
      </c>
      <c r="M98">
        <f t="shared" si="1"/>
        <v>0</v>
      </c>
    </row>
    <row r="99" spans="1:13" x14ac:dyDescent="0.3">
      <c r="A99">
        <v>1250</v>
      </c>
      <c r="B99" t="s">
        <v>44</v>
      </c>
      <c r="C99">
        <v>3</v>
      </c>
      <c r="D99">
        <v>2015</v>
      </c>
      <c r="E99">
        <v>1.769909</v>
      </c>
      <c r="F99">
        <v>327225.40000000002</v>
      </c>
      <c r="G99">
        <v>28.258389999999999</v>
      </c>
      <c r="I99">
        <v>2.8754529999999998</v>
      </c>
      <c r="J99" s="5">
        <v>0.3477712902975636</v>
      </c>
      <c r="K99">
        <v>49</v>
      </c>
      <c r="L99">
        <v>0</v>
      </c>
      <c r="M99">
        <f t="shared" si="1"/>
        <v>0</v>
      </c>
    </row>
    <row r="100" spans="1:13" x14ac:dyDescent="0.3">
      <c r="A100">
        <v>1252</v>
      </c>
      <c r="B100" t="s">
        <v>336</v>
      </c>
      <c r="C100">
        <v>7</v>
      </c>
      <c r="D100">
        <v>2018</v>
      </c>
      <c r="E100">
        <v>1.706752</v>
      </c>
      <c r="F100">
        <v>433113.1</v>
      </c>
      <c r="G100">
        <v>28.258389999999999</v>
      </c>
      <c r="I100">
        <v>2.9983909999999998</v>
      </c>
      <c r="J100" s="5">
        <v>0.33351220704704626</v>
      </c>
      <c r="K100">
        <v>82</v>
      </c>
      <c r="L100">
        <v>0</v>
      </c>
      <c r="M100">
        <f t="shared" si="1"/>
        <v>0</v>
      </c>
    </row>
    <row r="101" spans="1:13" x14ac:dyDescent="0.3">
      <c r="A101">
        <v>1252</v>
      </c>
      <c r="B101" t="s">
        <v>336</v>
      </c>
      <c r="C101">
        <v>8</v>
      </c>
      <c r="D101">
        <v>2015</v>
      </c>
      <c r="E101">
        <v>1.706752</v>
      </c>
      <c r="F101">
        <v>755645.5</v>
      </c>
      <c r="G101">
        <v>28.258389999999999</v>
      </c>
      <c r="I101">
        <v>2.8577699999999999</v>
      </c>
      <c r="J101" s="5">
        <v>0.34992319185938686</v>
      </c>
      <c r="K101">
        <v>150</v>
      </c>
      <c r="L101">
        <v>0</v>
      </c>
      <c r="M101">
        <f t="shared" si="1"/>
        <v>0</v>
      </c>
    </row>
    <row r="102" spans="1:13" x14ac:dyDescent="0.3">
      <c r="A102">
        <v>1353</v>
      </c>
      <c r="B102" t="s">
        <v>249</v>
      </c>
      <c r="C102">
        <v>2</v>
      </c>
      <c r="D102">
        <v>2015</v>
      </c>
      <c r="E102">
        <v>2.8497159999999999</v>
      </c>
      <c r="F102">
        <v>3847011</v>
      </c>
      <c r="G102">
        <v>27.244959999999999</v>
      </c>
      <c r="I102">
        <v>2.3884979999999998</v>
      </c>
      <c r="J102" s="5">
        <v>0.41867315777530484</v>
      </c>
      <c r="K102">
        <v>816.3</v>
      </c>
      <c r="L102">
        <v>64500000</v>
      </c>
      <c r="M102">
        <f t="shared" si="1"/>
        <v>79015.067989709671</v>
      </c>
    </row>
    <row r="103" spans="1:13" x14ac:dyDescent="0.3">
      <c r="A103">
        <v>1355</v>
      </c>
      <c r="B103" t="s">
        <v>45</v>
      </c>
      <c r="C103">
        <v>1</v>
      </c>
      <c r="D103">
        <v>2019</v>
      </c>
      <c r="E103">
        <v>2.574481</v>
      </c>
      <c r="F103">
        <v>330707.09999999998</v>
      </c>
      <c r="G103">
        <v>27.244959999999999</v>
      </c>
      <c r="I103">
        <v>3.2227549999999998</v>
      </c>
      <c r="J103" s="5">
        <v>0.31029352215728467</v>
      </c>
      <c r="K103">
        <v>113.6</v>
      </c>
      <c r="L103">
        <v>2000000</v>
      </c>
      <c r="M103">
        <f t="shared" si="1"/>
        <v>17605.633802816901</v>
      </c>
    </row>
    <row r="104" spans="1:13" x14ac:dyDescent="0.3">
      <c r="A104">
        <v>1355</v>
      </c>
      <c r="B104" t="s">
        <v>45</v>
      </c>
      <c r="C104">
        <v>2</v>
      </c>
      <c r="D104">
        <v>2019</v>
      </c>
      <c r="E104">
        <v>2.574481</v>
      </c>
      <c r="F104">
        <v>640862.80000000005</v>
      </c>
      <c r="G104">
        <v>27.244959999999999</v>
      </c>
      <c r="I104">
        <v>2.909783</v>
      </c>
      <c r="J104" s="5">
        <v>0.34366823917797307</v>
      </c>
      <c r="K104">
        <v>179.5</v>
      </c>
      <c r="L104">
        <v>0</v>
      </c>
      <c r="M104">
        <f t="shared" si="1"/>
        <v>0</v>
      </c>
    </row>
    <row r="105" spans="1:13" x14ac:dyDescent="0.3">
      <c r="A105">
        <v>1357</v>
      </c>
      <c r="B105" t="s">
        <v>337</v>
      </c>
      <c r="C105">
        <v>3</v>
      </c>
      <c r="D105">
        <v>2015</v>
      </c>
      <c r="E105">
        <v>2.4688669999999999</v>
      </c>
      <c r="F105">
        <v>341629.1</v>
      </c>
      <c r="G105">
        <v>27.244959999999999</v>
      </c>
      <c r="I105">
        <v>3.2561100000000001</v>
      </c>
      <c r="J105" s="5">
        <v>0.30711493162086045</v>
      </c>
      <c r="K105">
        <v>75</v>
      </c>
      <c r="L105">
        <v>14000000</v>
      </c>
      <c r="M105">
        <f t="shared" si="1"/>
        <v>186666.66666666666</v>
      </c>
    </row>
    <row r="106" spans="1:13" x14ac:dyDescent="0.3">
      <c r="A106">
        <v>1357</v>
      </c>
      <c r="B106" t="s">
        <v>337</v>
      </c>
      <c r="C106">
        <v>4</v>
      </c>
      <c r="D106">
        <v>2015</v>
      </c>
      <c r="E106">
        <v>2.4688669999999999</v>
      </c>
      <c r="F106">
        <v>547606.1</v>
      </c>
      <c r="G106">
        <v>27.244959999999999</v>
      </c>
      <c r="I106">
        <v>3.161867</v>
      </c>
      <c r="J106" s="5">
        <v>0.31626883736728967</v>
      </c>
      <c r="K106">
        <v>113.6</v>
      </c>
      <c r="L106">
        <v>20000000</v>
      </c>
      <c r="M106">
        <f t="shared" si="1"/>
        <v>176056.33802816903</v>
      </c>
    </row>
    <row r="107" spans="1:13" x14ac:dyDescent="0.3">
      <c r="A107">
        <v>1363</v>
      </c>
      <c r="B107" t="s">
        <v>300</v>
      </c>
      <c r="C107">
        <v>4</v>
      </c>
      <c r="D107">
        <v>2015</v>
      </c>
      <c r="E107">
        <v>2.1704240000000001</v>
      </c>
      <c r="F107">
        <v>857432.3</v>
      </c>
      <c r="G107">
        <v>27.244959999999999</v>
      </c>
      <c r="I107">
        <v>3.2568549999999998</v>
      </c>
      <c r="J107" s="5">
        <v>0.30704467960655296</v>
      </c>
      <c r="K107">
        <v>163.19999999999999</v>
      </c>
      <c r="L107">
        <v>30000000</v>
      </c>
      <c r="M107">
        <f t="shared" si="1"/>
        <v>183823.52941176473</v>
      </c>
    </row>
    <row r="108" spans="1:13" x14ac:dyDescent="0.3">
      <c r="A108">
        <v>1363</v>
      </c>
      <c r="B108" t="s">
        <v>300</v>
      </c>
      <c r="C108">
        <v>5</v>
      </c>
      <c r="D108">
        <v>2015</v>
      </c>
      <c r="E108">
        <v>2.1704240000000001</v>
      </c>
      <c r="F108">
        <v>879284.4</v>
      </c>
      <c r="G108">
        <v>27.244959999999999</v>
      </c>
      <c r="I108">
        <v>2.9945560000000002</v>
      </c>
      <c r="J108" s="5">
        <v>0.33393932188945535</v>
      </c>
      <c r="K108">
        <v>209.4</v>
      </c>
      <c r="L108">
        <v>27000000</v>
      </c>
      <c r="M108">
        <f t="shared" si="1"/>
        <v>128939.82808022923</v>
      </c>
    </row>
    <row r="109" spans="1:13" x14ac:dyDescent="0.3">
      <c r="A109">
        <v>1363</v>
      </c>
      <c r="B109" t="s">
        <v>300</v>
      </c>
      <c r="C109">
        <v>6</v>
      </c>
      <c r="D109">
        <v>2015</v>
      </c>
      <c r="E109">
        <v>2.1704240000000001</v>
      </c>
      <c r="F109">
        <v>1097088</v>
      </c>
      <c r="G109">
        <v>27.244959999999999</v>
      </c>
      <c r="I109">
        <v>3.0549979999999999</v>
      </c>
      <c r="J109" s="5">
        <v>0.32733245651879317</v>
      </c>
      <c r="K109">
        <v>272</v>
      </c>
      <c r="L109">
        <v>29500000</v>
      </c>
      <c r="M109">
        <f t="shared" si="1"/>
        <v>108455.88235294117</v>
      </c>
    </row>
    <row r="110" spans="1:13" x14ac:dyDescent="0.3">
      <c r="A110">
        <v>1378</v>
      </c>
      <c r="B110" t="s">
        <v>338</v>
      </c>
      <c r="C110">
        <v>1</v>
      </c>
      <c r="D110">
        <v>2017</v>
      </c>
      <c r="E110">
        <v>2.2246480000000002</v>
      </c>
      <c r="F110">
        <v>429491.1</v>
      </c>
      <c r="G110">
        <v>27.244959999999999</v>
      </c>
      <c r="I110">
        <v>1.404711</v>
      </c>
      <c r="J110" s="5">
        <v>0.71189020375009515</v>
      </c>
      <c r="K110">
        <v>704</v>
      </c>
      <c r="L110">
        <v>0</v>
      </c>
      <c r="M110">
        <f t="shared" si="1"/>
        <v>0</v>
      </c>
    </row>
    <row r="111" spans="1:13" x14ac:dyDescent="0.3">
      <c r="A111">
        <v>1378</v>
      </c>
      <c r="B111" t="s">
        <v>338</v>
      </c>
      <c r="C111">
        <v>2</v>
      </c>
      <c r="D111">
        <v>2017</v>
      </c>
      <c r="E111">
        <v>2.2246480000000002</v>
      </c>
      <c r="F111">
        <v>421248.5</v>
      </c>
      <c r="G111">
        <v>27.244959999999999</v>
      </c>
      <c r="I111">
        <v>1.3214920000000001</v>
      </c>
      <c r="J111" s="5">
        <v>0.75672043417591628</v>
      </c>
      <c r="K111">
        <v>704</v>
      </c>
      <c r="L111">
        <v>0</v>
      </c>
      <c r="M111">
        <f t="shared" si="1"/>
        <v>0</v>
      </c>
    </row>
    <row r="112" spans="1:13" x14ac:dyDescent="0.3">
      <c r="A112">
        <v>1379</v>
      </c>
      <c r="B112" t="s">
        <v>48</v>
      </c>
      <c r="C112">
        <v>10</v>
      </c>
      <c r="D112">
        <v>2014</v>
      </c>
      <c r="E112">
        <v>2.0527600000000001</v>
      </c>
      <c r="F112">
        <v>438681.59999999998</v>
      </c>
      <c r="G112">
        <v>27.244959999999999</v>
      </c>
      <c r="I112">
        <v>2.8384939999999999</v>
      </c>
      <c r="J112" s="5">
        <v>0.35229949402746669</v>
      </c>
      <c r="K112">
        <v>175</v>
      </c>
      <c r="L112">
        <v>20000000</v>
      </c>
      <c r="M112">
        <f t="shared" si="1"/>
        <v>114285.71428571429</v>
      </c>
    </row>
    <row r="113" spans="1:13" x14ac:dyDescent="0.3">
      <c r="A113">
        <v>1382</v>
      </c>
      <c r="B113" t="s">
        <v>339</v>
      </c>
      <c r="C113">
        <v>1</v>
      </c>
      <c r="D113">
        <v>2019</v>
      </c>
      <c r="E113">
        <v>2.312322</v>
      </c>
      <c r="F113">
        <v>91735.54</v>
      </c>
      <c r="G113">
        <v>27.244959999999999</v>
      </c>
      <c r="I113">
        <v>0.94882840000000002</v>
      </c>
      <c r="J113" s="5">
        <v>1.0539313536567834</v>
      </c>
      <c r="K113">
        <v>200</v>
      </c>
      <c r="L113">
        <v>0</v>
      </c>
      <c r="M113">
        <f t="shared" si="1"/>
        <v>0</v>
      </c>
    </row>
    <row r="114" spans="1:13" x14ac:dyDescent="0.3">
      <c r="A114">
        <v>1382</v>
      </c>
      <c r="B114" t="s">
        <v>339</v>
      </c>
      <c r="C114">
        <v>2</v>
      </c>
      <c r="D114">
        <v>2019</v>
      </c>
      <c r="E114">
        <v>2.312322</v>
      </c>
      <c r="F114">
        <v>99457.73</v>
      </c>
      <c r="G114">
        <v>27.244959999999999</v>
      </c>
      <c r="I114">
        <v>1.0382720000000001</v>
      </c>
      <c r="J114" s="5">
        <v>0.96313875362140167</v>
      </c>
      <c r="K114">
        <v>205</v>
      </c>
      <c r="L114">
        <v>0</v>
      </c>
      <c r="M114">
        <f t="shared" si="1"/>
        <v>0</v>
      </c>
    </row>
    <row r="115" spans="1:13" x14ac:dyDescent="0.3">
      <c r="A115">
        <v>1385</v>
      </c>
      <c r="B115" t="s">
        <v>340</v>
      </c>
      <c r="C115">
        <v>1</v>
      </c>
      <c r="D115">
        <v>2015</v>
      </c>
      <c r="E115">
        <v>2.998183</v>
      </c>
      <c r="F115">
        <v>113910.2</v>
      </c>
      <c r="G115">
        <v>27.244959999999999</v>
      </c>
      <c r="I115">
        <v>3.1429399999999998</v>
      </c>
      <c r="J115" s="5">
        <v>0.3181734299732098</v>
      </c>
      <c r="K115">
        <v>27</v>
      </c>
      <c r="L115">
        <v>8000000</v>
      </c>
      <c r="M115">
        <f t="shared" si="1"/>
        <v>296296.29629629629</v>
      </c>
    </row>
    <row r="116" spans="1:13" x14ac:dyDescent="0.3">
      <c r="A116">
        <v>1385</v>
      </c>
      <c r="B116" t="s">
        <v>340</v>
      </c>
      <c r="C116">
        <v>2</v>
      </c>
      <c r="D116">
        <v>2015</v>
      </c>
      <c r="E116">
        <v>2.998183</v>
      </c>
      <c r="F116">
        <v>115928.9</v>
      </c>
      <c r="G116">
        <v>27.244959999999999</v>
      </c>
      <c r="I116">
        <v>3.1228060000000002</v>
      </c>
      <c r="J116" s="5">
        <v>0.32022482344404357</v>
      </c>
      <c r="K116">
        <v>27</v>
      </c>
      <c r="L116">
        <v>8000000</v>
      </c>
      <c r="M116">
        <f t="shared" si="1"/>
        <v>296296.29629629629</v>
      </c>
    </row>
    <row r="117" spans="1:13" x14ac:dyDescent="0.3">
      <c r="A117">
        <v>1385</v>
      </c>
      <c r="B117" t="s">
        <v>340</v>
      </c>
      <c r="C117">
        <v>3</v>
      </c>
      <c r="D117">
        <v>2016</v>
      </c>
      <c r="E117">
        <v>2.998183</v>
      </c>
      <c r="F117">
        <v>149485.4</v>
      </c>
      <c r="G117">
        <v>27.244959999999999</v>
      </c>
      <c r="I117">
        <v>2.4918719999999999</v>
      </c>
      <c r="J117" s="5">
        <v>0.40130472191187994</v>
      </c>
      <c r="K117">
        <v>81</v>
      </c>
      <c r="L117">
        <v>0</v>
      </c>
      <c r="M117">
        <f t="shared" si="1"/>
        <v>0</v>
      </c>
    </row>
    <row r="118" spans="1:13" x14ac:dyDescent="0.3">
      <c r="A118">
        <v>1385</v>
      </c>
      <c r="B118" t="s">
        <v>340</v>
      </c>
      <c r="C118">
        <v>4</v>
      </c>
      <c r="D118">
        <v>2016</v>
      </c>
      <c r="E118">
        <v>2.998183</v>
      </c>
      <c r="F118">
        <v>168754.6</v>
      </c>
      <c r="G118">
        <v>27.244959999999999</v>
      </c>
      <c r="I118">
        <v>2.3083369999999999</v>
      </c>
      <c r="J118" s="5">
        <v>0.43321230825481721</v>
      </c>
      <c r="K118">
        <v>81</v>
      </c>
      <c r="L118">
        <v>0</v>
      </c>
      <c r="M118">
        <f t="shared" si="1"/>
        <v>0</v>
      </c>
    </row>
    <row r="119" spans="1:13" x14ac:dyDescent="0.3">
      <c r="A119">
        <v>1695</v>
      </c>
      <c r="B119" t="s">
        <v>341</v>
      </c>
      <c r="C119">
        <v>4</v>
      </c>
      <c r="D119">
        <v>2016</v>
      </c>
      <c r="E119">
        <v>2.6285919999999998</v>
      </c>
      <c r="F119">
        <v>712221.9</v>
      </c>
      <c r="G119">
        <v>37.475929999999998</v>
      </c>
      <c r="I119">
        <v>2.5215380000000001</v>
      </c>
      <c r="J119" s="5">
        <v>0.39658335507932063</v>
      </c>
      <c r="K119">
        <v>156.30000000000001</v>
      </c>
      <c r="L119">
        <v>0</v>
      </c>
      <c r="M119">
        <f t="shared" si="1"/>
        <v>0</v>
      </c>
    </row>
    <row r="120" spans="1:13" x14ac:dyDescent="0.3">
      <c r="A120">
        <v>1695</v>
      </c>
      <c r="B120" t="s">
        <v>341</v>
      </c>
      <c r="C120">
        <v>5</v>
      </c>
      <c r="D120">
        <v>2016</v>
      </c>
      <c r="E120">
        <v>2.6285919999999998</v>
      </c>
      <c r="F120">
        <v>770459.4</v>
      </c>
      <c r="G120">
        <v>37.475929999999998</v>
      </c>
      <c r="I120">
        <v>2.6003850000000002</v>
      </c>
      <c r="J120" s="5">
        <v>0.38455844038478915</v>
      </c>
      <c r="K120">
        <v>156.30000000000001</v>
      </c>
      <c r="L120">
        <v>0</v>
      </c>
      <c r="M120">
        <f t="shared" si="1"/>
        <v>0</v>
      </c>
    </row>
    <row r="121" spans="1:13" x14ac:dyDescent="0.3">
      <c r="A121">
        <v>1720</v>
      </c>
      <c r="B121" t="s">
        <v>342</v>
      </c>
      <c r="C121">
        <v>7</v>
      </c>
      <c r="D121">
        <v>2016</v>
      </c>
      <c r="E121">
        <v>2.9462429999999999</v>
      </c>
      <c r="F121">
        <v>750779.6</v>
      </c>
      <c r="G121">
        <v>37.475929999999998</v>
      </c>
      <c r="I121">
        <v>2.2252679999999998</v>
      </c>
      <c r="J121" s="5">
        <v>0.44938407418791809</v>
      </c>
      <c r="K121">
        <v>156.30000000000001</v>
      </c>
      <c r="L121">
        <v>0</v>
      </c>
      <c r="M121">
        <f t="shared" si="1"/>
        <v>0</v>
      </c>
    </row>
    <row r="122" spans="1:13" x14ac:dyDescent="0.3">
      <c r="A122">
        <v>1720</v>
      </c>
      <c r="B122" t="s">
        <v>342</v>
      </c>
      <c r="C122">
        <v>8</v>
      </c>
      <c r="D122">
        <v>2016</v>
      </c>
      <c r="E122">
        <v>2.9462429999999999</v>
      </c>
      <c r="F122">
        <v>815695.4</v>
      </c>
      <c r="G122">
        <v>37.475929999999998</v>
      </c>
      <c r="I122">
        <v>3.3423989999999999</v>
      </c>
      <c r="J122" s="5">
        <v>0.29918630301169907</v>
      </c>
      <c r="K122">
        <v>156.30000000000001</v>
      </c>
      <c r="L122">
        <v>0</v>
      </c>
      <c r="M122">
        <f t="shared" si="1"/>
        <v>0</v>
      </c>
    </row>
    <row r="123" spans="1:13" x14ac:dyDescent="0.3">
      <c r="A123">
        <v>1723</v>
      </c>
      <c r="B123" t="s">
        <v>343</v>
      </c>
      <c r="C123">
        <v>1</v>
      </c>
      <c r="D123">
        <v>2016</v>
      </c>
      <c r="E123">
        <v>2.7306029999999999</v>
      </c>
      <c r="F123">
        <v>532933.80000000005</v>
      </c>
      <c r="G123">
        <v>37.475929999999998</v>
      </c>
      <c r="I123">
        <v>2.9430000000000001</v>
      </c>
      <c r="J123" s="5">
        <v>0.3397893306150187</v>
      </c>
      <c r="K123">
        <v>106.3</v>
      </c>
      <c r="L123">
        <v>0</v>
      </c>
      <c r="M123">
        <f t="shared" si="1"/>
        <v>0</v>
      </c>
    </row>
    <row r="124" spans="1:13" x14ac:dyDescent="0.3">
      <c r="A124">
        <v>1723</v>
      </c>
      <c r="B124" t="s">
        <v>343</v>
      </c>
      <c r="C124">
        <v>2</v>
      </c>
      <c r="D124">
        <v>2016</v>
      </c>
      <c r="E124">
        <v>2.7306029999999999</v>
      </c>
      <c r="F124">
        <v>532464.30000000005</v>
      </c>
      <c r="G124">
        <v>37.475929999999998</v>
      </c>
      <c r="I124">
        <v>2.9724270000000002</v>
      </c>
      <c r="J124" s="5">
        <v>0.33642541936269588</v>
      </c>
      <c r="K124">
        <v>106.3</v>
      </c>
      <c r="L124">
        <v>0</v>
      </c>
      <c r="M124">
        <f t="shared" si="1"/>
        <v>0</v>
      </c>
    </row>
    <row r="125" spans="1:13" x14ac:dyDescent="0.3">
      <c r="A125">
        <v>1723</v>
      </c>
      <c r="B125" t="s">
        <v>343</v>
      </c>
      <c r="C125">
        <v>3</v>
      </c>
      <c r="D125">
        <v>2016</v>
      </c>
      <c r="E125">
        <v>2.7306029999999999</v>
      </c>
      <c r="F125">
        <v>655123.5</v>
      </c>
      <c r="G125">
        <v>37.475929999999998</v>
      </c>
      <c r="I125">
        <v>2.9256060000000002</v>
      </c>
      <c r="J125" s="5">
        <v>0.34180952595804082</v>
      </c>
      <c r="K125">
        <v>132.80000000000001</v>
      </c>
      <c r="L125">
        <v>2500000</v>
      </c>
      <c r="M125">
        <f t="shared" si="1"/>
        <v>18825.301204819276</v>
      </c>
    </row>
    <row r="126" spans="1:13" x14ac:dyDescent="0.3">
      <c r="A126">
        <v>1731</v>
      </c>
      <c r="B126" t="s">
        <v>344</v>
      </c>
      <c r="C126">
        <v>1</v>
      </c>
      <c r="D126">
        <v>2013</v>
      </c>
      <c r="E126">
        <v>3.0356679999999998</v>
      </c>
      <c r="F126">
        <v>46614.23</v>
      </c>
      <c r="G126">
        <v>37.475929999999998</v>
      </c>
      <c r="I126">
        <v>2.667062</v>
      </c>
      <c r="J126" s="5">
        <v>0.37494441449055177</v>
      </c>
      <c r="K126">
        <v>121</v>
      </c>
      <c r="L126">
        <v>0</v>
      </c>
      <c r="M126">
        <f t="shared" si="1"/>
        <v>0</v>
      </c>
    </row>
    <row r="127" spans="1:13" x14ac:dyDescent="0.3">
      <c r="A127">
        <v>1740</v>
      </c>
      <c r="B127" t="s">
        <v>345</v>
      </c>
      <c r="C127">
        <v>2</v>
      </c>
      <c r="D127">
        <v>2016</v>
      </c>
      <c r="E127">
        <v>2.4788290000000002</v>
      </c>
      <c r="F127">
        <v>123182.6</v>
      </c>
      <c r="G127">
        <v>37.475929999999998</v>
      </c>
      <c r="I127">
        <v>1.7759309999999999</v>
      </c>
      <c r="J127" s="5">
        <v>0.56308493967389506</v>
      </c>
      <c r="K127">
        <v>292.5</v>
      </c>
      <c r="L127">
        <v>0</v>
      </c>
      <c r="M127">
        <f t="shared" si="1"/>
        <v>0</v>
      </c>
    </row>
    <row r="128" spans="1:13" x14ac:dyDescent="0.3">
      <c r="A128">
        <v>1743</v>
      </c>
      <c r="B128" t="s">
        <v>346</v>
      </c>
      <c r="C128">
        <v>1</v>
      </c>
      <c r="D128">
        <v>2019</v>
      </c>
      <c r="E128">
        <v>2.6964030000000001</v>
      </c>
      <c r="F128">
        <v>77560.800000000003</v>
      </c>
      <c r="G128">
        <v>37.475929999999998</v>
      </c>
      <c r="I128">
        <v>1.696224</v>
      </c>
      <c r="J128" s="5">
        <v>0.58954477710491071</v>
      </c>
      <c r="K128">
        <v>168.7</v>
      </c>
      <c r="L128">
        <v>0</v>
      </c>
      <c r="M128">
        <f t="shared" si="1"/>
        <v>0</v>
      </c>
    </row>
    <row r="129" spans="1:13" x14ac:dyDescent="0.3">
      <c r="A129">
        <v>1743</v>
      </c>
      <c r="B129" t="s">
        <v>346</v>
      </c>
      <c r="C129">
        <v>4</v>
      </c>
      <c r="D129">
        <v>2017</v>
      </c>
      <c r="E129">
        <v>2.6964030000000001</v>
      </c>
      <c r="F129">
        <v>77545.55</v>
      </c>
      <c r="G129">
        <v>37.475929999999998</v>
      </c>
      <c r="I129">
        <v>1.603945</v>
      </c>
      <c r="J129" s="5">
        <v>0.62346277459638577</v>
      </c>
      <c r="K129">
        <v>168.7</v>
      </c>
      <c r="L129">
        <v>0</v>
      </c>
      <c r="M129">
        <f t="shared" si="1"/>
        <v>0</v>
      </c>
    </row>
    <row r="130" spans="1:13" x14ac:dyDescent="0.3">
      <c r="A130">
        <v>1745</v>
      </c>
      <c r="B130" t="s">
        <v>347</v>
      </c>
      <c r="C130">
        <v>7</v>
      </c>
      <c r="D130">
        <v>2016</v>
      </c>
      <c r="E130">
        <v>2.3681489999999998</v>
      </c>
      <c r="F130">
        <v>54730.559999999998</v>
      </c>
      <c r="G130">
        <v>37.475929999999998</v>
      </c>
      <c r="I130">
        <v>1.550365</v>
      </c>
      <c r="J130" s="5">
        <v>0.64500940101201976</v>
      </c>
      <c r="K130">
        <v>120</v>
      </c>
      <c r="L130">
        <v>0</v>
      </c>
      <c r="M130">
        <f t="shared" si="1"/>
        <v>0</v>
      </c>
    </row>
    <row r="131" spans="1:13" x14ac:dyDescent="0.3">
      <c r="A131">
        <v>1745</v>
      </c>
      <c r="B131" t="s">
        <v>347</v>
      </c>
      <c r="C131">
        <v>8</v>
      </c>
      <c r="D131">
        <v>2015</v>
      </c>
      <c r="E131">
        <v>2.3681489999999998</v>
      </c>
      <c r="F131">
        <v>44428.98</v>
      </c>
      <c r="G131">
        <v>37.475929999999998</v>
      </c>
      <c r="I131">
        <v>1.6287830000000001</v>
      </c>
      <c r="J131" s="5">
        <v>0.61395532738246894</v>
      </c>
      <c r="K131">
        <v>120</v>
      </c>
      <c r="L131">
        <v>0</v>
      </c>
      <c r="M131">
        <f t="shared" ref="M131:M194" si="2">L131/K131</f>
        <v>0</v>
      </c>
    </row>
    <row r="132" spans="1:13" x14ac:dyDescent="0.3">
      <c r="A132">
        <v>1769</v>
      </c>
      <c r="B132" t="s">
        <v>348</v>
      </c>
      <c r="C132">
        <v>3</v>
      </c>
      <c r="D132">
        <v>2009</v>
      </c>
      <c r="E132">
        <v>2.4511440000000002</v>
      </c>
      <c r="F132">
        <v>315538.3</v>
      </c>
      <c r="G132">
        <v>37.475929999999998</v>
      </c>
      <c r="I132">
        <v>3.0674480000000002</v>
      </c>
      <c r="J132" s="5">
        <v>0.32600389639856975</v>
      </c>
      <c r="K132">
        <v>54.4</v>
      </c>
      <c r="L132">
        <v>29500000</v>
      </c>
      <c r="M132">
        <f t="shared" si="2"/>
        <v>542279.4117647059</v>
      </c>
    </row>
    <row r="133" spans="1:13" x14ac:dyDescent="0.3">
      <c r="A133">
        <v>1769</v>
      </c>
      <c r="B133" t="s">
        <v>348</v>
      </c>
      <c r="C133">
        <v>4</v>
      </c>
      <c r="D133">
        <v>2009</v>
      </c>
      <c r="E133">
        <v>2.4511440000000002</v>
      </c>
      <c r="F133">
        <v>338937.2</v>
      </c>
      <c r="G133">
        <v>37.475929999999998</v>
      </c>
      <c r="I133">
        <v>3.3331140000000001</v>
      </c>
      <c r="J133" s="5">
        <v>0.30001974129897746</v>
      </c>
      <c r="K133">
        <v>57.8</v>
      </c>
      <c r="L133">
        <v>32500000</v>
      </c>
      <c r="M133">
        <f t="shared" si="2"/>
        <v>562283.73702422145</v>
      </c>
    </row>
    <row r="134" spans="1:13" x14ac:dyDescent="0.3">
      <c r="A134">
        <v>1769</v>
      </c>
      <c r="B134" t="s">
        <v>348</v>
      </c>
      <c r="C134">
        <v>5</v>
      </c>
      <c r="D134">
        <v>2019</v>
      </c>
      <c r="E134">
        <v>2.4511440000000002</v>
      </c>
      <c r="F134">
        <v>36435.15</v>
      </c>
      <c r="G134">
        <v>37.475929999999998</v>
      </c>
      <c r="I134">
        <v>1.791928</v>
      </c>
      <c r="J134" s="5">
        <v>0.55805813626440348</v>
      </c>
      <c r="K134">
        <v>90</v>
      </c>
      <c r="L134">
        <v>0</v>
      </c>
      <c r="M134">
        <f t="shared" si="2"/>
        <v>0</v>
      </c>
    </row>
    <row r="135" spans="1:13" x14ac:dyDescent="0.3">
      <c r="A135">
        <v>1769</v>
      </c>
      <c r="B135" t="s">
        <v>348</v>
      </c>
      <c r="C135">
        <v>6</v>
      </c>
      <c r="D135">
        <v>2019</v>
      </c>
      <c r="E135">
        <v>2.4511440000000002</v>
      </c>
      <c r="F135">
        <v>37285.89</v>
      </c>
      <c r="G135">
        <v>37.475929999999998</v>
      </c>
      <c r="I135">
        <v>1.7386490000000001</v>
      </c>
      <c r="J135" s="5">
        <v>0.57515921845064755</v>
      </c>
      <c r="K135">
        <v>90</v>
      </c>
      <c r="L135">
        <v>0</v>
      </c>
      <c r="M135">
        <f t="shared" si="2"/>
        <v>0</v>
      </c>
    </row>
    <row r="136" spans="1:13" x14ac:dyDescent="0.3">
      <c r="A136">
        <v>1769</v>
      </c>
      <c r="B136" t="s">
        <v>348</v>
      </c>
      <c r="C136">
        <v>7</v>
      </c>
      <c r="D136">
        <v>2019</v>
      </c>
      <c r="E136">
        <v>2.4511440000000002</v>
      </c>
      <c r="F136">
        <v>53847.73</v>
      </c>
      <c r="G136">
        <v>37.475929999999998</v>
      </c>
      <c r="I136">
        <v>1.6025700000000001</v>
      </c>
      <c r="J136" s="5">
        <v>0.62399770368845042</v>
      </c>
      <c r="K136">
        <v>90</v>
      </c>
      <c r="L136">
        <v>0</v>
      </c>
      <c r="M136">
        <f t="shared" si="2"/>
        <v>0</v>
      </c>
    </row>
    <row r="137" spans="1:13" x14ac:dyDescent="0.3">
      <c r="A137">
        <v>1769</v>
      </c>
      <c r="B137" t="s">
        <v>348</v>
      </c>
      <c r="C137">
        <v>8</v>
      </c>
      <c r="D137">
        <v>2019</v>
      </c>
      <c r="E137">
        <v>2.4511440000000002</v>
      </c>
      <c r="F137">
        <v>54345.86</v>
      </c>
      <c r="G137">
        <v>37.475929999999998</v>
      </c>
      <c r="I137">
        <v>1.4857849999999999</v>
      </c>
      <c r="J137" s="5">
        <v>0.67304488872885382</v>
      </c>
      <c r="K137">
        <v>90</v>
      </c>
      <c r="L137">
        <v>0</v>
      </c>
      <c r="M137">
        <f t="shared" si="2"/>
        <v>0</v>
      </c>
    </row>
    <row r="138" spans="1:13" x14ac:dyDescent="0.3">
      <c r="A138">
        <v>1769</v>
      </c>
      <c r="B138" t="s">
        <v>348</v>
      </c>
      <c r="C138">
        <v>9</v>
      </c>
      <c r="D138">
        <v>2019</v>
      </c>
      <c r="E138">
        <v>2.4511440000000002</v>
      </c>
      <c r="F138">
        <v>55344.55</v>
      </c>
      <c r="G138">
        <v>37.475929999999998</v>
      </c>
      <c r="I138">
        <v>1.409535</v>
      </c>
      <c r="J138" s="5">
        <v>0.7094538269713061</v>
      </c>
      <c r="K138">
        <v>90</v>
      </c>
      <c r="L138">
        <v>0</v>
      </c>
      <c r="M138">
        <f t="shared" si="2"/>
        <v>0</v>
      </c>
    </row>
    <row r="139" spans="1:13" x14ac:dyDescent="0.3">
      <c r="A139">
        <v>1831</v>
      </c>
      <c r="B139" t="s">
        <v>349</v>
      </c>
      <c r="C139">
        <v>1</v>
      </c>
      <c r="D139">
        <v>2015</v>
      </c>
      <c r="E139">
        <v>2.3532310000000001</v>
      </c>
      <c r="F139">
        <v>2107.6</v>
      </c>
      <c r="G139">
        <v>37.475929999999998</v>
      </c>
      <c r="I139">
        <v>2.7609300000000001</v>
      </c>
      <c r="J139" s="5">
        <v>0.3621967960071425</v>
      </c>
      <c r="K139">
        <v>44</v>
      </c>
      <c r="L139">
        <v>0</v>
      </c>
      <c r="M139">
        <f t="shared" si="2"/>
        <v>0</v>
      </c>
    </row>
    <row r="140" spans="1:13" x14ac:dyDescent="0.3">
      <c r="A140">
        <v>1831</v>
      </c>
      <c r="B140" t="s">
        <v>349</v>
      </c>
      <c r="C140">
        <v>2</v>
      </c>
      <c r="D140">
        <v>2014</v>
      </c>
      <c r="E140">
        <v>2.3532310000000001</v>
      </c>
      <c r="F140">
        <v>82644</v>
      </c>
      <c r="G140">
        <v>37.475929999999998</v>
      </c>
      <c r="I140">
        <v>3.246299</v>
      </c>
      <c r="J140" s="5">
        <v>0.30804309769371213</v>
      </c>
      <c r="K140">
        <v>44</v>
      </c>
      <c r="L140">
        <v>0</v>
      </c>
      <c r="M140">
        <f t="shared" si="2"/>
        <v>0</v>
      </c>
    </row>
    <row r="141" spans="1:13" x14ac:dyDescent="0.3">
      <c r="A141">
        <v>1831</v>
      </c>
      <c r="B141" t="s">
        <v>349</v>
      </c>
      <c r="C141">
        <v>3</v>
      </c>
      <c r="D141">
        <v>2015</v>
      </c>
      <c r="E141">
        <v>2.3532310000000001</v>
      </c>
      <c r="F141">
        <v>2393.4090000000001</v>
      </c>
      <c r="G141">
        <v>37.475929999999998</v>
      </c>
      <c r="I141">
        <v>2.8177699999999999</v>
      </c>
      <c r="J141" s="5">
        <v>0.35489056949289688</v>
      </c>
      <c r="K141">
        <v>47</v>
      </c>
      <c r="L141">
        <v>0</v>
      </c>
      <c r="M141">
        <f t="shared" si="2"/>
        <v>0</v>
      </c>
    </row>
    <row r="142" spans="1:13" x14ac:dyDescent="0.3">
      <c r="A142">
        <v>1893</v>
      </c>
      <c r="B142" t="s">
        <v>53</v>
      </c>
      <c r="C142">
        <v>1</v>
      </c>
      <c r="D142">
        <v>2018</v>
      </c>
      <c r="E142">
        <v>1.9469730000000001</v>
      </c>
      <c r="F142">
        <v>422930.4</v>
      </c>
      <c r="G142">
        <v>29.532340000000001</v>
      </c>
      <c r="I142">
        <v>3.1331159999999998</v>
      </c>
      <c r="J142" s="5">
        <v>0.31917107441920439</v>
      </c>
      <c r="K142">
        <v>75</v>
      </c>
      <c r="L142">
        <v>0</v>
      </c>
      <c r="M142">
        <f t="shared" si="2"/>
        <v>0</v>
      </c>
    </row>
    <row r="143" spans="1:13" x14ac:dyDescent="0.3">
      <c r="A143">
        <v>1893</v>
      </c>
      <c r="B143" t="s">
        <v>53</v>
      </c>
      <c r="C143">
        <v>2</v>
      </c>
      <c r="D143">
        <v>2018</v>
      </c>
      <c r="E143">
        <v>1.9469730000000001</v>
      </c>
      <c r="F143">
        <v>425701.2</v>
      </c>
      <c r="G143">
        <v>29.532340000000001</v>
      </c>
      <c r="I143">
        <v>2.9228900000000002</v>
      </c>
      <c r="J143" s="5">
        <v>0.34212714128824551</v>
      </c>
      <c r="K143">
        <v>75</v>
      </c>
      <c r="L143">
        <v>0</v>
      </c>
      <c r="M143">
        <f t="shared" si="2"/>
        <v>0</v>
      </c>
    </row>
    <row r="144" spans="1:13" x14ac:dyDescent="0.3">
      <c r="A144">
        <v>1904</v>
      </c>
      <c r="B144" t="s">
        <v>350</v>
      </c>
      <c r="C144">
        <v>3</v>
      </c>
      <c r="D144">
        <v>2015</v>
      </c>
      <c r="E144">
        <v>1.950915</v>
      </c>
      <c r="F144">
        <v>464231.2</v>
      </c>
      <c r="G144">
        <v>29.532340000000001</v>
      </c>
      <c r="I144">
        <v>3.0041099999999998</v>
      </c>
      <c r="J144" s="5">
        <v>0.33287729144405498</v>
      </c>
      <c r="K144">
        <v>113.6</v>
      </c>
      <c r="L144">
        <v>9500000</v>
      </c>
      <c r="M144">
        <f t="shared" si="2"/>
        <v>83626.760563380289</v>
      </c>
    </row>
    <row r="145" spans="1:13" x14ac:dyDescent="0.3">
      <c r="A145">
        <v>1904</v>
      </c>
      <c r="B145" t="s">
        <v>350</v>
      </c>
      <c r="C145">
        <v>4</v>
      </c>
      <c r="D145">
        <v>2015</v>
      </c>
      <c r="E145">
        <v>1.950915</v>
      </c>
      <c r="F145">
        <v>785040.9</v>
      </c>
      <c r="G145">
        <v>29.532340000000001</v>
      </c>
      <c r="I145">
        <v>2.8793150000000001</v>
      </c>
      <c r="J145" s="5">
        <v>0.3473048277107576</v>
      </c>
      <c r="K145">
        <v>163.19999999999999</v>
      </c>
      <c r="L145">
        <v>9500000</v>
      </c>
      <c r="M145">
        <f t="shared" si="2"/>
        <v>58210.784313725497</v>
      </c>
    </row>
    <row r="146" spans="1:13" x14ac:dyDescent="0.3">
      <c r="A146">
        <v>2076</v>
      </c>
      <c r="B146" t="s">
        <v>351</v>
      </c>
      <c r="C146">
        <v>2</v>
      </c>
      <c r="D146">
        <v>2013</v>
      </c>
      <c r="E146">
        <v>2.2940749999999999</v>
      </c>
      <c r="F146">
        <v>124041.60000000001</v>
      </c>
      <c r="G146">
        <v>24.504280000000001</v>
      </c>
      <c r="I146">
        <v>0.2181978</v>
      </c>
      <c r="J146" s="5">
        <v>4.5829976287570267</v>
      </c>
      <c r="K146">
        <v>18.7</v>
      </c>
      <c r="L146">
        <v>7000000</v>
      </c>
      <c r="M146">
        <f t="shared" si="2"/>
        <v>374331.55080213904</v>
      </c>
    </row>
    <row r="147" spans="1:13" x14ac:dyDescent="0.3">
      <c r="A147">
        <v>2080</v>
      </c>
      <c r="B147" t="s">
        <v>352</v>
      </c>
      <c r="C147">
        <v>1</v>
      </c>
      <c r="D147">
        <v>2016</v>
      </c>
      <c r="E147">
        <v>1.8991199999999999</v>
      </c>
      <c r="F147">
        <v>728294.5</v>
      </c>
      <c r="G147">
        <v>24.504280000000001</v>
      </c>
      <c r="I147">
        <v>2.418336</v>
      </c>
      <c r="J147" s="5">
        <v>0.41350746959893081</v>
      </c>
      <c r="K147">
        <v>188</v>
      </c>
      <c r="L147">
        <v>0</v>
      </c>
      <c r="M147">
        <f t="shared" si="2"/>
        <v>0</v>
      </c>
    </row>
    <row r="148" spans="1:13" x14ac:dyDescent="0.3">
      <c r="A148">
        <v>2080</v>
      </c>
      <c r="B148" t="s">
        <v>352</v>
      </c>
      <c r="C148">
        <v>2</v>
      </c>
      <c r="D148">
        <v>2018</v>
      </c>
      <c r="E148">
        <v>1.8991199999999999</v>
      </c>
      <c r="F148">
        <v>650137.1</v>
      </c>
      <c r="G148">
        <v>24.504280000000001</v>
      </c>
      <c r="I148">
        <v>2.5059110000000002</v>
      </c>
      <c r="J148" s="5">
        <v>0.3990564708802507</v>
      </c>
      <c r="K148">
        <v>188</v>
      </c>
      <c r="L148">
        <v>0</v>
      </c>
      <c r="M148">
        <f t="shared" si="2"/>
        <v>0</v>
      </c>
    </row>
    <row r="149" spans="1:13" x14ac:dyDescent="0.3">
      <c r="A149">
        <v>2080</v>
      </c>
      <c r="B149" t="s">
        <v>352</v>
      </c>
      <c r="C149">
        <v>3</v>
      </c>
      <c r="D149">
        <v>2018</v>
      </c>
      <c r="E149">
        <v>1.8991199999999999</v>
      </c>
      <c r="F149">
        <v>671299</v>
      </c>
      <c r="G149">
        <v>24.504280000000001</v>
      </c>
      <c r="I149">
        <v>2.3550939999999998</v>
      </c>
      <c r="J149" s="5">
        <v>0.42461150170651368</v>
      </c>
      <c r="K149">
        <v>188</v>
      </c>
      <c r="L149">
        <v>0</v>
      </c>
      <c r="M149">
        <f t="shared" si="2"/>
        <v>0</v>
      </c>
    </row>
    <row r="150" spans="1:13" x14ac:dyDescent="0.3">
      <c r="A150">
        <v>2094</v>
      </c>
      <c r="B150" t="s">
        <v>353</v>
      </c>
      <c r="C150">
        <v>1</v>
      </c>
      <c r="D150">
        <v>2017</v>
      </c>
      <c r="E150">
        <v>1.872849</v>
      </c>
      <c r="F150">
        <v>169697.2</v>
      </c>
      <c r="G150">
        <v>24.504280000000001</v>
      </c>
      <c r="I150">
        <v>2.8092250000000001</v>
      </c>
      <c r="J150" s="5">
        <v>0.35597006291770861</v>
      </c>
      <c r="K150">
        <v>55</v>
      </c>
      <c r="L150">
        <v>0</v>
      </c>
      <c r="M150">
        <f t="shared" si="2"/>
        <v>0</v>
      </c>
    </row>
    <row r="151" spans="1:13" x14ac:dyDescent="0.3">
      <c r="A151">
        <v>2094</v>
      </c>
      <c r="B151" t="s">
        <v>353</v>
      </c>
      <c r="C151">
        <v>2</v>
      </c>
      <c r="D151">
        <v>2018</v>
      </c>
      <c r="E151">
        <v>1.872849</v>
      </c>
      <c r="F151">
        <v>172013.5</v>
      </c>
      <c r="G151">
        <v>24.504280000000001</v>
      </c>
      <c r="I151">
        <v>2.7511670000000001</v>
      </c>
      <c r="J151" s="5">
        <v>0.3634821150442703</v>
      </c>
      <c r="K151">
        <v>50</v>
      </c>
      <c r="L151">
        <v>0</v>
      </c>
      <c r="M151">
        <f t="shared" si="2"/>
        <v>0</v>
      </c>
    </row>
    <row r="152" spans="1:13" x14ac:dyDescent="0.3">
      <c r="A152">
        <v>2094</v>
      </c>
      <c r="B152" t="s">
        <v>353</v>
      </c>
      <c r="C152">
        <v>3</v>
      </c>
      <c r="D152">
        <v>2018</v>
      </c>
      <c r="E152">
        <v>1.872849</v>
      </c>
      <c r="F152">
        <v>1304891</v>
      </c>
      <c r="G152">
        <v>24.504280000000001</v>
      </c>
      <c r="I152">
        <v>2.2627169999999999</v>
      </c>
      <c r="J152" s="5">
        <v>0.44194656247334513</v>
      </c>
      <c r="K152">
        <v>419</v>
      </c>
      <c r="L152">
        <v>0</v>
      </c>
      <c r="M152">
        <f t="shared" si="2"/>
        <v>0</v>
      </c>
    </row>
    <row r="153" spans="1:13" x14ac:dyDescent="0.3">
      <c r="A153">
        <v>2161</v>
      </c>
      <c r="B153" t="s">
        <v>354</v>
      </c>
      <c r="C153">
        <v>1</v>
      </c>
      <c r="D153">
        <v>2017</v>
      </c>
      <c r="E153">
        <v>2.4176760000000002</v>
      </c>
      <c r="F153">
        <v>125242.8</v>
      </c>
      <c r="G153">
        <v>24.504280000000001</v>
      </c>
      <c r="I153">
        <v>3.0984349999999998</v>
      </c>
      <c r="J153" s="5">
        <v>0.32274357861307401</v>
      </c>
      <c r="K153">
        <v>22</v>
      </c>
      <c r="L153">
        <v>5500000</v>
      </c>
      <c r="M153">
        <f t="shared" si="2"/>
        <v>250000</v>
      </c>
    </row>
    <row r="154" spans="1:13" x14ac:dyDescent="0.3">
      <c r="A154">
        <v>2161</v>
      </c>
      <c r="B154" t="s">
        <v>354</v>
      </c>
      <c r="C154">
        <v>2</v>
      </c>
      <c r="D154">
        <v>2017</v>
      </c>
      <c r="E154">
        <v>2.4176760000000002</v>
      </c>
      <c r="F154">
        <v>130195.3</v>
      </c>
      <c r="G154">
        <v>24.504280000000001</v>
      </c>
      <c r="I154">
        <v>3.2571639999999999</v>
      </c>
      <c r="J154" s="5">
        <v>0.30701555095168681</v>
      </c>
      <c r="K154">
        <v>22</v>
      </c>
      <c r="L154">
        <v>6500000</v>
      </c>
      <c r="M154">
        <f t="shared" si="2"/>
        <v>295454.54545454547</v>
      </c>
    </row>
    <row r="155" spans="1:13" x14ac:dyDescent="0.3">
      <c r="A155">
        <v>2161</v>
      </c>
      <c r="B155" t="s">
        <v>354</v>
      </c>
      <c r="C155">
        <v>3</v>
      </c>
      <c r="D155">
        <v>2017</v>
      </c>
      <c r="E155">
        <v>2.4176760000000002</v>
      </c>
      <c r="F155">
        <v>236687.8</v>
      </c>
      <c r="G155">
        <v>24.504280000000001</v>
      </c>
      <c r="I155">
        <v>2.779509</v>
      </c>
      <c r="J155" s="5">
        <v>0.35977577334701921</v>
      </c>
      <c r="K155">
        <v>44</v>
      </c>
      <c r="L155">
        <v>4500000</v>
      </c>
      <c r="M155">
        <f t="shared" si="2"/>
        <v>102272.72727272728</v>
      </c>
    </row>
    <row r="156" spans="1:13" x14ac:dyDescent="0.3">
      <c r="A156">
        <v>2187</v>
      </c>
      <c r="B156" t="s">
        <v>355</v>
      </c>
      <c r="C156">
        <v>1</v>
      </c>
      <c r="D156">
        <v>2015</v>
      </c>
      <c r="E156">
        <v>1.847316</v>
      </c>
      <c r="F156">
        <v>565320</v>
      </c>
      <c r="G156">
        <v>24.457229999999999</v>
      </c>
      <c r="I156">
        <v>2.1134529999999998</v>
      </c>
      <c r="J156" s="5">
        <v>0.47315932741347932</v>
      </c>
      <c r="K156">
        <v>172.8</v>
      </c>
      <c r="L156">
        <v>0</v>
      </c>
      <c r="M156">
        <f t="shared" si="2"/>
        <v>0</v>
      </c>
    </row>
    <row r="157" spans="1:13" x14ac:dyDescent="0.3">
      <c r="A157">
        <v>2324</v>
      </c>
      <c r="B157" t="s">
        <v>356</v>
      </c>
      <c r="C157">
        <v>1</v>
      </c>
      <c r="D157">
        <v>2014</v>
      </c>
      <c r="E157">
        <v>2.5908129999999998</v>
      </c>
      <c r="F157">
        <v>477788</v>
      </c>
      <c r="G157">
        <v>26.415420000000001</v>
      </c>
      <c r="I157">
        <v>3.2587130000000002</v>
      </c>
      <c r="J157" s="5">
        <v>0.30686961386289618</v>
      </c>
      <c r="K157">
        <v>114</v>
      </c>
      <c r="L157">
        <v>16000000</v>
      </c>
      <c r="M157">
        <f t="shared" si="2"/>
        <v>140350.87719298244</v>
      </c>
    </row>
    <row r="158" spans="1:13" x14ac:dyDescent="0.3">
      <c r="A158">
        <v>2324</v>
      </c>
      <c r="B158" t="s">
        <v>356</v>
      </c>
      <c r="C158">
        <v>2</v>
      </c>
      <c r="D158">
        <v>2014</v>
      </c>
      <c r="E158">
        <v>2.5908129999999998</v>
      </c>
      <c r="F158">
        <v>529000</v>
      </c>
      <c r="G158">
        <v>26.415420000000001</v>
      </c>
      <c r="I158">
        <v>3.2154400000000001</v>
      </c>
      <c r="J158" s="5">
        <v>0.31099942776105294</v>
      </c>
      <c r="K158">
        <v>114</v>
      </c>
      <c r="L158">
        <v>22000000</v>
      </c>
      <c r="M158">
        <f t="shared" si="2"/>
        <v>192982.45614035087</v>
      </c>
    </row>
    <row r="159" spans="1:13" x14ac:dyDescent="0.3">
      <c r="A159">
        <v>2324</v>
      </c>
      <c r="B159" t="s">
        <v>356</v>
      </c>
      <c r="C159">
        <v>3</v>
      </c>
      <c r="D159">
        <v>2014</v>
      </c>
      <c r="E159">
        <v>2.5908129999999998</v>
      </c>
      <c r="F159">
        <v>567036</v>
      </c>
      <c r="G159">
        <v>26.415420000000001</v>
      </c>
      <c r="I159">
        <v>3.4539170000000001</v>
      </c>
      <c r="J159" s="5">
        <v>0.28952635514981973</v>
      </c>
      <c r="K159">
        <v>114</v>
      </c>
      <c r="L159">
        <v>26000000</v>
      </c>
      <c r="M159">
        <f t="shared" si="2"/>
        <v>228070.17543859649</v>
      </c>
    </row>
    <row r="160" spans="1:13" x14ac:dyDescent="0.3">
      <c r="A160">
        <v>2324</v>
      </c>
      <c r="B160" t="s">
        <v>356</v>
      </c>
      <c r="C160">
        <v>4</v>
      </c>
      <c r="D160">
        <v>2017</v>
      </c>
      <c r="E160">
        <v>2.5908129999999998</v>
      </c>
      <c r="F160">
        <v>1105994</v>
      </c>
      <c r="G160">
        <v>26.415420000000001</v>
      </c>
      <c r="I160">
        <v>3.3474300000000001</v>
      </c>
      <c r="J160" s="5">
        <v>0.29873664273786155</v>
      </c>
      <c r="K160">
        <v>294.8</v>
      </c>
      <c r="L160">
        <v>49000000</v>
      </c>
      <c r="M160">
        <f t="shared" si="2"/>
        <v>166214.38263229307</v>
      </c>
    </row>
    <row r="161" spans="1:13" x14ac:dyDescent="0.3">
      <c r="A161">
        <v>2451</v>
      </c>
      <c r="B161" t="s">
        <v>357</v>
      </c>
      <c r="C161">
        <v>2</v>
      </c>
      <c r="D161">
        <v>2017</v>
      </c>
      <c r="E161">
        <v>2.345129</v>
      </c>
      <c r="F161">
        <v>1906655</v>
      </c>
      <c r="G161">
        <v>24.507449999999999</v>
      </c>
      <c r="I161">
        <v>2.6011829999999998</v>
      </c>
      <c r="J161" s="5">
        <v>0.38444046420417177</v>
      </c>
      <c r="K161">
        <v>369</v>
      </c>
      <c r="L161">
        <v>18500000</v>
      </c>
      <c r="M161">
        <f t="shared" si="2"/>
        <v>50135.501355013548</v>
      </c>
    </row>
    <row r="162" spans="1:13" x14ac:dyDescent="0.3">
      <c r="A162">
        <v>2451</v>
      </c>
      <c r="B162" t="s">
        <v>357</v>
      </c>
      <c r="C162">
        <v>3</v>
      </c>
      <c r="D162">
        <v>2017</v>
      </c>
      <c r="E162">
        <v>2.345129</v>
      </c>
      <c r="F162">
        <v>2879643</v>
      </c>
      <c r="G162">
        <v>24.507449999999999</v>
      </c>
      <c r="I162">
        <v>2.6848380000000001</v>
      </c>
      <c r="J162" s="5">
        <v>0.37246195114938035</v>
      </c>
      <c r="K162">
        <v>555</v>
      </c>
      <c r="L162">
        <v>38000000</v>
      </c>
      <c r="M162">
        <f t="shared" si="2"/>
        <v>68468.468468468462</v>
      </c>
    </row>
    <row r="163" spans="1:13" x14ac:dyDescent="0.3">
      <c r="A163">
        <v>2527</v>
      </c>
      <c r="B163" t="s">
        <v>358</v>
      </c>
      <c r="C163">
        <v>3</v>
      </c>
      <c r="D163">
        <v>2009</v>
      </c>
      <c r="E163">
        <v>3.7212049999999999</v>
      </c>
      <c r="F163">
        <v>84175</v>
      </c>
      <c r="G163">
        <v>44.626350000000002</v>
      </c>
      <c r="I163">
        <v>3.6989920000000001</v>
      </c>
      <c r="J163" s="5">
        <v>0.27034392072218594</v>
      </c>
      <c r="K163">
        <v>50</v>
      </c>
      <c r="L163">
        <v>8000000</v>
      </c>
      <c r="M163">
        <f t="shared" si="2"/>
        <v>160000</v>
      </c>
    </row>
    <row r="164" spans="1:13" x14ac:dyDescent="0.3">
      <c r="A164">
        <v>2642</v>
      </c>
      <c r="B164" t="s">
        <v>359</v>
      </c>
      <c r="C164">
        <v>1</v>
      </c>
      <c r="D164">
        <v>2008</v>
      </c>
      <c r="E164">
        <v>3.7212049999999999</v>
      </c>
      <c r="F164">
        <v>189368.2</v>
      </c>
      <c r="G164">
        <v>44.626350000000002</v>
      </c>
      <c r="I164">
        <v>3.0080010000000001</v>
      </c>
      <c r="J164" s="5">
        <v>0.33244669798979454</v>
      </c>
      <c r="K164">
        <v>46</v>
      </c>
      <c r="L164">
        <v>18500000</v>
      </c>
      <c r="M164">
        <f t="shared" si="2"/>
        <v>402173.91304347827</v>
      </c>
    </row>
    <row r="165" spans="1:13" x14ac:dyDescent="0.3">
      <c r="A165">
        <v>2642</v>
      </c>
      <c r="B165" t="s">
        <v>359</v>
      </c>
      <c r="C165">
        <v>2</v>
      </c>
      <c r="D165">
        <v>2008</v>
      </c>
      <c r="E165">
        <v>3.7212049999999999</v>
      </c>
      <c r="F165">
        <v>208214.39999999999</v>
      </c>
      <c r="G165">
        <v>44.626350000000002</v>
      </c>
      <c r="I165">
        <v>3.0999989999999999</v>
      </c>
      <c r="J165" s="5">
        <v>0.32258074921959651</v>
      </c>
      <c r="K165">
        <v>62.5</v>
      </c>
      <c r="L165">
        <v>17500000</v>
      </c>
      <c r="M165">
        <f t="shared" si="2"/>
        <v>280000</v>
      </c>
    </row>
    <row r="166" spans="1:13" x14ac:dyDescent="0.3">
      <c r="A166">
        <v>2642</v>
      </c>
      <c r="B166" t="s">
        <v>359</v>
      </c>
      <c r="C166">
        <v>3</v>
      </c>
      <c r="D166">
        <v>2008</v>
      </c>
      <c r="E166">
        <v>3.7212049999999999</v>
      </c>
      <c r="F166">
        <v>266160.90000000002</v>
      </c>
      <c r="G166">
        <v>44.626350000000002</v>
      </c>
      <c r="I166">
        <v>3.30247</v>
      </c>
      <c r="J166" s="5">
        <v>0.30280365907941631</v>
      </c>
      <c r="K166">
        <v>62.5</v>
      </c>
      <c r="L166">
        <v>17000000</v>
      </c>
      <c r="M166">
        <f t="shared" si="2"/>
        <v>272000</v>
      </c>
    </row>
    <row r="167" spans="1:13" x14ac:dyDescent="0.3">
      <c r="A167">
        <v>2642</v>
      </c>
      <c r="B167" t="s">
        <v>359</v>
      </c>
      <c r="C167">
        <v>4</v>
      </c>
      <c r="D167">
        <v>2008</v>
      </c>
      <c r="E167">
        <v>3.7212049999999999</v>
      </c>
      <c r="F167">
        <v>377416.8</v>
      </c>
      <c r="G167">
        <v>44.626350000000002</v>
      </c>
      <c r="I167">
        <v>2.974917</v>
      </c>
      <c r="J167" s="5">
        <v>0.33614383191194913</v>
      </c>
      <c r="K167">
        <v>81.599999999999994</v>
      </c>
      <c r="L167">
        <v>26500000</v>
      </c>
      <c r="M167">
        <f t="shared" si="2"/>
        <v>324754.90196078434</v>
      </c>
    </row>
    <row r="168" spans="1:13" x14ac:dyDescent="0.3">
      <c r="A168">
        <v>2708</v>
      </c>
      <c r="B168" t="s">
        <v>360</v>
      </c>
      <c r="C168">
        <v>5</v>
      </c>
      <c r="D168">
        <v>2012</v>
      </c>
      <c r="E168">
        <v>3.7708460000000001</v>
      </c>
      <c r="F168">
        <v>671943.9</v>
      </c>
      <c r="G168">
        <v>27.925329999999999</v>
      </c>
      <c r="I168">
        <v>2.4536820000000001</v>
      </c>
      <c r="J168" s="5">
        <v>0.40755077471326762</v>
      </c>
      <c r="K168">
        <v>140.6</v>
      </c>
      <c r="L168">
        <v>30000000</v>
      </c>
      <c r="M168">
        <f t="shared" si="2"/>
        <v>213371.26600284496</v>
      </c>
    </row>
    <row r="169" spans="1:13" x14ac:dyDescent="0.3">
      <c r="A169">
        <v>2708</v>
      </c>
      <c r="B169" t="s">
        <v>360</v>
      </c>
      <c r="C169">
        <v>6</v>
      </c>
      <c r="D169">
        <v>2012</v>
      </c>
      <c r="E169">
        <v>3.7708460000000001</v>
      </c>
      <c r="F169">
        <v>790481.9</v>
      </c>
      <c r="G169">
        <v>27.925329999999999</v>
      </c>
      <c r="I169">
        <v>2.5302980000000002</v>
      </c>
      <c r="J169" s="5">
        <v>0.39521036652599811</v>
      </c>
      <c r="K169">
        <v>187.9</v>
      </c>
      <c r="L169">
        <v>38500000</v>
      </c>
      <c r="M169">
        <f t="shared" si="2"/>
        <v>204896.2213943587</v>
      </c>
    </row>
    <row r="170" spans="1:13" x14ac:dyDescent="0.3">
      <c r="A170">
        <v>2709</v>
      </c>
      <c r="B170" t="s">
        <v>361</v>
      </c>
      <c r="C170">
        <v>1</v>
      </c>
      <c r="D170">
        <v>2012</v>
      </c>
      <c r="E170">
        <v>3.9197679999999999</v>
      </c>
      <c r="F170">
        <v>278451.40000000002</v>
      </c>
      <c r="G170">
        <v>27.925329999999999</v>
      </c>
      <c r="I170">
        <v>2.861008</v>
      </c>
      <c r="J170" s="5">
        <v>0.34952715965841408</v>
      </c>
      <c r="K170">
        <v>75</v>
      </c>
      <c r="L170">
        <v>8000000</v>
      </c>
      <c r="M170">
        <f t="shared" si="2"/>
        <v>106666.66666666667</v>
      </c>
    </row>
    <row r="171" spans="1:13" x14ac:dyDescent="0.3">
      <c r="A171">
        <v>2709</v>
      </c>
      <c r="B171" t="s">
        <v>361</v>
      </c>
      <c r="C171">
        <v>2</v>
      </c>
      <c r="D171">
        <v>2012</v>
      </c>
      <c r="E171">
        <v>3.9197679999999999</v>
      </c>
      <c r="F171">
        <v>268829.2</v>
      </c>
      <c r="G171">
        <v>27.925329999999999</v>
      </c>
      <c r="I171">
        <v>3.222289</v>
      </c>
      <c r="J171" s="5">
        <v>0.31033839609048103</v>
      </c>
      <c r="K171">
        <v>75</v>
      </c>
      <c r="L171">
        <v>13000000</v>
      </c>
      <c r="M171">
        <f t="shared" si="2"/>
        <v>173333.33333333334</v>
      </c>
    </row>
    <row r="172" spans="1:13" x14ac:dyDescent="0.3">
      <c r="A172">
        <v>2709</v>
      </c>
      <c r="B172" t="s">
        <v>361</v>
      </c>
      <c r="C172">
        <v>3</v>
      </c>
      <c r="D172">
        <v>2012</v>
      </c>
      <c r="E172">
        <v>3.9197679999999999</v>
      </c>
      <c r="F172">
        <v>851816</v>
      </c>
      <c r="G172">
        <v>27.925329999999999</v>
      </c>
      <c r="I172">
        <v>2.1041759999999998</v>
      </c>
      <c r="J172" s="5">
        <v>0.47524541673320109</v>
      </c>
      <c r="K172">
        <v>252.4</v>
      </c>
      <c r="L172">
        <v>3500000</v>
      </c>
      <c r="M172">
        <f t="shared" si="2"/>
        <v>13866.87797147385</v>
      </c>
    </row>
    <row r="173" spans="1:13" x14ac:dyDescent="0.3">
      <c r="A173">
        <v>2713</v>
      </c>
      <c r="B173" t="s">
        <v>362</v>
      </c>
      <c r="C173">
        <v>1</v>
      </c>
      <c r="D173">
        <v>2013</v>
      </c>
      <c r="E173">
        <v>4.2952859999999999</v>
      </c>
      <c r="F173">
        <v>224958.7</v>
      </c>
      <c r="G173">
        <v>27.925329999999999</v>
      </c>
      <c r="I173">
        <v>2.7725719999999998</v>
      </c>
      <c r="J173" s="5">
        <v>0.36067593555730926</v>
      </c>
      <c r="K173">
        <v>112.5</v>
      </c>
      <c r="L173">
        <v>6500000</v>
      </c>
      <c r="M173">
        <f t="shared" si="2"/>
        <v>57777.777777777781</v>
      </c>
    </row>
    <row r="174" spans="1:13" x14ac:dyDescent="0.3">
      <c r="A174">
        <v>2713</v>
      </c>
      <c r="B174" t="s">
        <v>362</v>
      </c>
      <c r="C174">
        <v>2</v>
      </c>
      <c r="D174">
        <v>2013</v>
      </c>
      <c r="E174">
        <v>4.2952859999999999</v>
      </c>
      <c r="F174">
        <v>224868.6</v>
      </c>
      <c r="G174">
        <v>27.925329999999999</v>
      </c>
      <c r="I174">
        <v>2.8093520000000001</v>
      </c>
      <c r="J174" s="5">
        <v>0.35595397088011754</v>
      </c>
      <c r="K174">
        <v>112.5</v>
      </c>
      <c r="L174">
        <v>5000000</v>
      </c>
      <c r="M174">
        <f t="shared" si="2"/>
        <v>44444.444444444445</v>
      </c>
    </row>
    <row r="175" spans="1:13" x14ac:dyDescent="0.3">
      <c r="A175">
        <v>2713</v>
      </c>
      <c r="B175" t="s">
        <v>362</v>
      </c>
      <c r="C175">
        <v>3</v>
      </c>
      <c r="D175">
        <v>2013</v>
      </c>
      <c r="E175">
        <v>4.2952859999999999</v>
      </c>
      <c r="F175">
        <v>1305302</v>
      </c>
      <c r="G175">
        <v>27.925329999999999</v>
      </c>
      <c r="I175">
        <v>2.4844170000000001</v>
      </c>
      <c r="J175" s="5">
        <v>0.40250891859136367</v>
      </c>
      <c r="K175">
        <v>446.6</v>
      </c>
      <c r="L175">
        <v>44000000</v>
      </c>
      <c r="M175">
        <f t="shared" si="2"/>
        <v>98522.167487684725</v>
      </c>
    </row>
    <row r="176" spans="1:13" x14ac:dyDescent="0.3">
      <c r="A176">
        <v>2716</v>
      </c>
      <c r="B176" t="s">
        <v>363</v>
      </c>
      <c r="C176">
        <v>1</v>
      </c>
      <c r="D176">
        <v>2011</v>
      </c>
      <c r="E176">
        <v>3.968737</v>
      </c>
      <c r="F176">
        <v>136590.29999999999</v>
      </c>
      <c r="G176">
        <v>27.925329999999999</v>
      </c>
      <c r="I176">
        <v>3.5940629999999998</v>
      </c>
      <c r="J176" s="5">
        <v>0.2782366363639146</v>
      </c>
      <c r="K176">
        <v>46</v>
      </c>
      <c r="L176">
        <v>10500000</v>
      </c>
      <c r="M176">
        <f t="shared" si="2"/>
        <v>228260.86956521738</v>
      </c>
    </row>
    <row r="177" spans="1:13" x14ac:dyDescent="0.3">
      <c r="A177">
        <v>2716</v>
      </c>
      <c r="B177" t="s">
        <v>363</v>
      </c>
      <c r="C177">
        <v>2</v>
      </c>
      <c r="D177">
        <v>2011</v>
      </c>
      <c r="E177">
        <v>3.968737</v>
      </c>
      <c r="F177">
        <v>107539.9</v>
      </c>
      <c r="G177">
        <v>27.925329999999999</v>
      </c>
      <c r="I177">
        <v>3.4447909999999999</v>
      </c>
      <c r="J177" s="5">
        <v>0.29029337338607769</v>
      </c>
      <c r="K177">
        <v>46</v>
      </c>
      <c r="L177">
        <v>7000000</v>
      </c>
      <c r="M177">
        <f t="shared" si="2"/>
        <v>152173.91304347827</v>
      </c>
    </row>
    <row r="178" spans="1:13" x14ac:dyDescent="0.3">
      <c r="A178">
        <v>2716</v>
      </c>
      <c r="B178" t="s">
        <v>363</v>
      </c>
      <c r="C178">
        <v>3</v>
      </c>
      <c r="D178">
        <v>2011</v>
      </c>
      <c r="E178">
        <v>3.968737</v>
      </c>
      <c r="F178">
        <v>218210.8</v>
      </c>
      <c r="G178">
        <v>27.925329999999999</v>
      </c>
      <c r="I178">
        <v>3.045077</v>
      </c>
      <c r="J178" s="5">
        <v>0.32839892061842768</v>
      </c>
      <c r="K178">
        <v>73.5</v>
      </c>
      <c r="L178">
        <v>11000000</v>
      </c>
      <c r="M178">
        <f t="shared" si="2"/>
        <v>149659.86394557822</v>
      </c>
    </row>
    <row r="179" spans="1:13" x14ac:dyDescent="0.3">
      <c r="A179">
        <v>2720</v>
      </c>
      <c r="B179" t="s">
        <v>364</v>
      </c>
      <c r="C179">
        <v>3</v>
      </c>
      <c r="D179">
        <v>2011</v>
      </c>
      <c r="E179">
        <v>3.6999719999999998</v>
      </c>
      <c r="F179">
        <v>186511.2</v>
      </c>
      <c r="G179">
        <v>27.925329999999999</v>
      </c>
      <c r="I179">
        <v>3.29237</v>
      </c>
      <c r="J179" s="5">
        <v>0.3037325695471651</v>
      </c>
      <c r="K179">
        <v>80</v>
      </c>
      <c r="L179">
        <v>18000000</v>
      </c>
      <c r="M179">
        <f t="shared" si="2"/>
        <v>225000</v>
      </c>
    </row>
    <row r="180" spans="1:13" x14ac:dyDescent="0.3">
      <c r="A180">
        <v>2720</v>
      </c>
      <c r="B180" t="s">
        <v>364</v>
      </c>
      <c r="C180">
        <v>4</v>
      </c>
      <c r="D180">
        <v>2011</v>
      </c>
      <c r="E180">
        <v>3.6999719999999998</v>
      </c>
      <c r="F180">
        <v>94951.72</v>
      </c>
      <c r="G180">
        <v>27.925329999999999</v>
      </c>
      <c r="I180">
        <v>3.7203179999999998</v>
      </c>
      <c r="J180" s="5">
        <v>0.26879422673008063</v>
      </c>
      <c r="K180">
        <v>40</v>
      </c>
      <c r="L180">
        <v>9000000</v>
      </c>
      <c r="M180">
        <f t="shared" si="2"/>
        <v>225000</v>
      </c>
    </row>
    <row r="181" spans="1:13" x14ac:dyDescent="0.3">
      <c r="A181">
        <v>2720</v>
      </c>
      <c r="B181" t="s">
        <v>364</v>
      </c>
      <c r="C181">
        <v>5</v>
      </c>
      <c r="D181">
        <v>2013</v>
      </c>
      <c r="E181">
        <v>3.6999719999999998</v>
      </c>
      <c r="F181">
        <v>248762.4</v>
      </c>
      <c r="G181">
        <v>27.925329999999999</v>
      </c>
      <c r="I181">
        <v>2.9051459999999998</v>
      </c>
      <c r="J181" s="5">
        <v>0.34421677946650531</v>
      </c>
      <c r="K181">
        <v>125</v>
      </c>
      <c r="L181">
        <v>8000000</v>
      </c>
      <c r="M181">
        <f t="shared" si="2"/>
        <v>64000</v>
      </c>
    </row>
    <row r="182" spans="1:13" x14ac:dyDescent="0.3">
      <c r="A182">
        <v>2720</v>
      </c>
      <c r="B182" t="s">
        <v>364</v>
      </c>
      <c r="C182">
        <v>6</v>
      </c>
      <c r="D182">
        <v>2013</v>
      </c>
      <c r="E182">
        <v>3.6999719999999998</v>
      </c>
      <c r="F182">
        <v>367412.5</v>
      </c>
      <c r="G182">
        <v>27.925329999999999</v>
      </c>
      <c r="I182">
        <v>3.0285000000000002</v>
      </c>
      <c r="J182" s="5">
        <v>0.33019646689780419</v>
      </c>
      <c r="K182">
        <v>125</v>
      </c>
      <c r="L182">
        <v>21000000</v>
      </c>
      <c r="M182">
        <f t="shared" si="2"/>
        <v>168000</v>
      </c>
    </row>
    <row r="183" spans="1:13" x14ac:dyDescent="0.3">
      <c r="A183">
        <v>2721</v>
      </c>
      <c r="B183" t="s">
        <v>256</v>
      </c>
      <c r="C183">
        <v>1</v>
      </c>
      <c r="D183">
        <v>2011</v>
      </c>
      <c r="E183">
        <v>3.7699579999999999</v>
      </c>
      <c r="F183">
        <v>96466.86</v>
      </c>
      <c r="G183">
        <v>27.925329999999999</v>
      </c>
      <c r="I183">
        <v>4.214461</v>
      </c>
      <c r="J183" s="5">
        <v>0.23727826642600322</v>
      </c>
      <c r="K183">
        <v>40</v>
      </c>
      <c r="L183">
        <v>10000000</v>
      </c>
      <c r="M183">
        <f t="shared" si="2"/>
        <v>250000</v>
      </c>
    </row>
    <row r="184" spans="1:13" x14ac:dyDescent="0.3">
      <c r="A184">
        <v>2721</v>
      </c>
      <c r="B184" t="s">
        <v>256</v>
      </c>
      <c r="C184">
        <v>2</v>
      </c>
      <c r="D184">
        <v>2011</v>
      </c>
      <c r="E184">
        <v>3.7699579999999999</v>
      </c>
      <c r="F184">
        <v>31189.84</v>
      </c>
      <c r="G184">
        <v>27.925329999999999</v>
      </c>
      <c r="I184">
        <v>3.850387</v>
      </c>
      <c r="J184" s="5">
        <v>0.25971415340847559</v>
      </c>
      <c r="K184">
        <v>40</v>
      </c>
      <c r="L184">
        <v>3000000</v>
      </c>
      <c r="M184">
        <f t="shared" si="2"/>
        <v>75000</v>
      </c>
    </row>
    <row r="185" spans="1:13" x14ac:dyDescent="0.3">
      <c r="A185">
        <v>2721</v>
      </c>
      <c r="B185" t="s">
        <v>256</v>
      </c>
      <c r="C185">
        <v>3</v>
      </c>
      <c r="D185">
        <v>2011</v>
      </c>
      <c r="E185">
        <v>3.7699579999999999</v>
      </c>
      <c r="F185">
        <v>92155.87</v>
      </c>
      <c r="G185">
        <v>27.925329999999999</v>
      </c>
      <c r="I185">
        <v>3.599148</v>
      </c>
      <c r="J185" s="5">
        <v>0.27784353408084356</v>
      </c>
      <c r="K185">
        <v>65</v>
      </c>
      <c r="L185">
        <v>8500000</v>
      </c>
      <c r="M185">
        <f t="shared" si="2"/>
        <v>130769.23076923077</v>
      </c>
    </row>
    <row r="186" spans="1:13" x14ac:dyDescent="0.3">
      <c r="A186">
        <v>2721</v>
      </c>
      <c r="B186" t="s">
        <v>256</v>
      </c>
      <c r="C186">
        <v>4</v>
      </c>
      <c r="D186">
        <v>2011</v>
      </c>
      <c r="E186">
        <v>3.7699579999999999</v>
      </c>
      <c r="F186">
        <v>94896.12</v>
      </c>
      <c r="G186">
        <v>27.925329999999999</v>
      </c>
      <c r="I186">
        <v>3.6263649999999998</v>
      </c>
      <c r="J186" s="5">
        <v>0.27575823172791486</v>
      </c>
      <c r="K186">
        <v>65</v>
      </c>
      <c r="L186">
        <v>8500000</v>
      </c>
      <c r="M186">
        <f t="shared" si="2"/>
        <v>130769.23076923077</v>
      </c>
    </row>
    <row r="187" spans="1:13" x14ac:dyDescent="0.3">
      <c r="A187">
        <v>2732</v>
      </c>
      <c r="B187" t="s">
        <v>365</v>
      </c>
      <c r="C187">
        <v>4</v>
      </c>
      <c r="D187">
        <v>2013</v>
      </c>
      <c r="E187">
        <v>3.6627260000000001</v>
      </c>
      <c r="F187">
        <v>188659.9</v>
      </c>
      <c r="G187">
        <v>27.925329999999999</v>
      </c>
      <c r="I187">
        <v>3.5576639999999999</v>
      </c>
      <c r="J187" s="5">
        <v>0.28108331759266753</v>
      </c>
      <c r="K187">
        <v>100</v>
      </c>
      <c r="L187">
        <v>13000000</v>
      </c>
      <c r="M187">
        <f t="shared" si="2"/>
        <v>130000</v>
      </c>
    </row>
    <row r="188" spans="1:13" x14ac:dyDescent="0.3">
      <c r="A188">
        <v>2732</v>
      </c>
      <c r="B188" t="s">
        <v>365</v>
      </c>
      <c r="C188">
        <v>5</v>
      </c>
      <c r="D188">
        <v>2013</v>
      </c>
      <c r="E188">
        <v>3.6627260000000001</v>
      </c>
      <c r="F188">
        <v>238104.6</v>
      </c>
      <c r="G188">
        <v>27.925329999999999</v>
      </c>
      <c r="I188">
        <v>3.3500839999999998</v>
      </c>
      <c r="J188" s="5">
        <v>0.29849997791100163</v>
      </c>
      <c r="K188">
        <v>100</v>
      </c>
      <c r="L188">
        <v>18500000</v>
      </c>
      <c r="M188">
        <f t="shared" si="2"/>
        <v>185000</v>
      </c>
    </row>
    <row r="189" spans="1:13" x14ac:dyDescent="0.3">
      <c r="A189">
        <v>2732</v>
      </c>
      <c r="B189" t="s">
        <v>365</v>
      </c>
      <c r="C189">
        <v>6</v>
      </c>
      <c r="D189">
        <v>2013</v>
      </c>
      <c r="E189">
        <v>3.6627260000000001</v>
      </c>
      <c r="F189">
        <v>334755.90000000002</v>
      </c>
      <c r="G189">
        <v>27.925329999999999</v>
      </c>
      <c r="I189">
        <v>3.1108099999999999</v>
      </c>
      <c r="J189" s="5">
        <v>0.3214596841337144</v>
      </c>
      <c r="K189">
        <v>133</v>
      </c>
      <c r="L189">
        <v>20000000</v>
      </c>
      <c r="M189">
        <f t="shared" si="2"/>
        <v>150375.93984962406</v>
      </c>
    </row>
    <row r="190" spans="1:13" x14ac:dyDescent="0.3">
      <c r="A190">
        <v>2732</v>
      </c>
      <c r="B190" t="s">
        <v>365</v>
      </c>
      <c r="C190">
        <v>7</v>
      </c>
      <c r="D190">
        <v>2013</v>
      </c>
      <c r="E190">
        <v>3.6627260000000001</v>
      </c>
      <c r="F190">
        <v>322391</v>
      </c>
      <c r="G190">
        <v>27.925329999999999</v>
      </c>
      <c r="I190">
        <v>2.6760899999999999</v>
      </c>
      <c r="J190" s="5">
        <v>0.37367951003142647</v>
      </c>
      <c r="K190">
        <v>133</v>
      </c>
      <c r="L190">
        <v>16500000</v>
      </c>
      <c r="M190">
        <f t="shared" si="2"/>
        <v>124060.15037593985</v>
      </c>
    </row>
    <row r="191" spans="1:13" x14ac:dyDescent="0.3">
      <c r="A191">
        <v>2824</v>
      </c>
      <c r="B191" t="s">
        <v>366</v>
      </c>
      <c r="C191">
        <v>1</v>
      </c>
      <c r="D191">
        <v>2017</v>
      </c>
      <c r="E191">
        <v>1.5644670000000001</v>
      </c>
      <c r="F191">
        <v>103931.6</v>
      </c>
      <c r="G191">
        <v>21.978249999999999</v>
      </c>
      <c r="I191">
        <v>1.6226400000000001</v>
      </c>
      <c r="J191" s="5">
        <v>0.61627964305083072</v>
      </c>
      <c r="K191">
        <v>190.2</v>
      </c>
      <c r="L191">
        <v>0</v>
      </c>
      <c r="M191">
        <f t="shared" si="2"/>
        <v>0</v>
      </c>
    </row>
    <row r="192" spans="1:13" x14ac:dyDescent="0.3">
      <c r="A192">
        <v>2830</v>
      </c>
      <c r="B192" t="s">
        <v>367</v>
      </c>
      <c r="C192">
        <v>1</v>
      </c>
      <c r="D192">
        <v>2012</v>
      </c>
      <c r="E192">
        <v>2.4470869999999998</v>
      </c>
      <c r="F192">
        <v>361617</v>
      </c>
      <c r="G192">
        <v>30.72579</v>
      </c>
      <c r="I192">
        <v>3.5179140000000002</v>
      </c>
      <c r="J192" s="5">
        <v>0.2842593650669118</v>
      </c>
      <c r="K192">
        <v>115</v>
      </c>
      <c r="L192">
        <v>32500000</v>
      </c>
      <c r="M192">
        <f t="shared" si="2"/>
        <v>282608.69565217389</v>
      </c>
    </row>
    <row r="193" spans="1:13" x14ac:dyDescent="0.3">
      <c r="A193">
        <v>2830</v>
      </c>
      <c r="B193" t="s">
        <v>367</v>
      </c>
      <c r="C193">
        <v>2</v>
      </c>
      <c r="D193">
        <v>2013</v>
      </c>
      <c r="E193">
        <v>2.4470869999999998</v>
      </c>
      <c r="F193">
        <v>315337.2</v>
      </c>
      <c r="G193">
        <v>30.72579</v>
      </c>
      <c r="I193">
        <v>3.2531029999999999</v>
      </c>
      <c r="J193" s="5">
        <v>0.30739881276430536</v>
      </c>
      <c r="K193">
        <v>112.5</v>
      </c>
      <c r="L193">
        <v>27000000</v>
      </c>
      <c r="M193">
        <f t="shared" si="2"/>
        <v>240000</v>
      </c>
    </row>
    <row r="194" spans="1:13" x14ac:dyDescent="0.3">
      <c r="A194">
        <v>2830</v>
      </c>
      <c r="B194" t="s">
        <v>367</v>
      </c>
      <c r="C194">
        <v>3</v>
      </c>
      <c r="D194">
        <v>2013</v>
      </c>
      <c r="E194">
        <v>2.4470869999999998</v>
      </c>
      <c r="F194">
        <v>444176.5</v>
      </c>
      <c r="G194">
        <v>30.72579</v>
      </c>
      <c r="I194">
        <v>3.2311809999999999</v>
      </c>
      <c r="J194" s="5">
        <v>0.30948436500462218</v>
      </c>
      <c r="K194">
        <v>125</v>
      </c>
      <c r="L194">
        <v>37000000</v>
      </c>
      <c r="M194">
        <f t="shared" si="2"/>
        <v>296000</v>
      </c>
    </row>
    <row r="195" spans="1:13" x14ac:dyDescent="0.3">
      <c r="A195">
        <v>2830</v>
      </c>
      <c r="B195" t="s">
        <v>367</v>
      </c>
      <c r="C195">
        <v>4</v>
      </c>
      <c r="D195">
        <v>2014</v>
      </c>
      <c r="E195">
        <v>2.4470869999999998</v>
      </c>
      <c r="F195">
        <v>721662</v>
      </c>
      <c r="G195">
        <v>30.72579</v>
      </c>
      <c r="I195">
        <v>3.070506</v>
      </c>
      <c r="J195" s="5">
        <v>0.32567922029789226</v>
      </c>
      <c r="K195">
        <v>163.19999999999999</v>
      </c>
      <c r="L195">
        <v>34500000</v>
      </c>
      <c r="M195">
        <f t="shared" ref="M195:M258" si="3">L195/K195</f>
        <v>211397.05882352943</v>
      </c>
    </row>
    <row r="196" spans="1:13" x14ac:dyDescent="0.3">
      <c r="A196">
        <v>2830</v>
      </c>
      <c r="B196" t="s">
        <v>367</v>
      </c>
      <c r="C196">
        <v>5</v>
      </c>
      <c r="D196">
        <v>2014</v>
      </c>
      <c r="E196">
        <v>2.4470869999999998</v>
      </c>
      <c r="F196">
        <v>959688.1</v>
      </c>
      <c r="G196">
        <v>30.72579</v>
      </c>
      <c r="I196">
        <v>2.9238330000000001</v>
      </c>
      <c r="J196" s="5">
        <v>0.34201679781300776</v>
      </c>
      <c r="K196">
        <v>244.8</v>
      </c>
      <c r="L196">
        <v>21000000</v>
      </c>
      <c r="M196">
        <f t="shared" si="3"/>
        <v>85784.313725490196</v>
      </c>
    </row>
    <row r="197" spans="1:13" x14ac:dyDescent="0.3">
      <c r="A197">
        <v>2830</v>
      </c>
      <c r="B197" t="s">
        <v>367</v>
      </c>
      <c r="C197">
        <v>6</v>
      </c>
      <c r="D197">
        <v>2014</v>
      </c>
      <c r="E197">
        <v>2.4470869999999998</v>
      </c>
      <c r="F197">
        <v>1782479</v>
      </c>
      <c r="G197">
        <v>30.72579</v>
      </c>
      <c r="I197">
        <v>2.7982719999999999</v>
      </c>
      <c r="J197" s="5">
        <v>0.35736340141344375</v>
      </c>
      <c r="K197">
        <v>460.8</v>
      </c>
      <c r="L197">
        <v>36500000</v>
      </c>
      <c r="M197">
        <f t="shared" si="3"/>
        <v>79210.069444444438</v>
      </c>
    </row>
    <row r="198" spans="1:13" x14ac:dyDescent="0.3">
      <c r="A198">
        <v>2832</v>
      </c>
      <c r="B198" t="s">
        <v>72</v>
      </c>
      <c r="C198">
        <v>6</v>
      </c>
      <c r="D198">
        <v>2015</v>
      </c>
      <c r="E198">
        <v>2.3112170000000001</v>
      </c>
      <c r="F198">
        <v>920570.6</v>
      </c>
      <c r="G198">
        <v>30.72579</v>
      </c>
      <c r="I198">
        <v>2.8316599999999998</v>
      </c>
      <c r="J198" s="5">
        <v>0.35314974255383769</v>
      </c>
      <c r="K198">
        <v>163.19999999999999</v>
      </c>
      <c r="L198">
        <v>0</v>
      </c>
      <c r="M198">
        <f t="shared" si="3"/>
        <v>0</v>
      </c>
    </row>
    <row r="199" spans="1:13" x14ac:dyDescent="0.3">
      <c r="A199">
        <v>2848</v>
      </c>
      <c r="B199" t="s">
        <v>368</v>
      </c>
      <c r="C199">
        <v>1</v>
      </c>
      <c r="D199">
        <v>2015</v>
      </c>
      <c r="E199">
        <v>5.5010070000000004</v>
      </c>
      <c r="F199">
        <v>14852.29</v>
      </c>
      <c r="G199">
        <v>30.72579</v>
      </c>
      <c r="I199">
        <v>4.4038769999999996</v>
      </c>
      <c r="J199" s="5">
        <v>0.22707264530775953</v>
      </c>
      <c r="K199">
        <v>69</v>
      </c>
      <c r="L199">
        <v>2000000</v>
      </c>
      <c r="M199">
        <f t="shared" si="3"/>
        <v>28985.507246376812</v>
      </c>
    </row>
    <row r="200" spans="1:13" x14ac:dyDescent="0.3">
      <c r="A200">
        <v>2848</v>
      </c>
      <c r="B200" t="s">
        <v>368</v>
      </c>
      <c r="C200">
        <v>2</v>
      </c>
      <c r="D200">
        <v>2015</v>
      </c>
      <c r="E200">
        <v>5.5010070000000004</v>
      </c>
      <c r="F200">
        <v>12218.36</v>
      </c>
      <c r="G200">
        <v>30.72579</v>
      </c>
      <c r="I200">
        <v>3.8870629999999999</v>
      </c>
      <c r="J200" s="5">
        <v>0.25726364609989599</v>
      </c>
      <c r="K200">
        <v>69</v>
      </c>
      <c r="L200">
        <v>1500000</v>
      </c>
      <c r="M200">
        <f t="shared" si="3"/>
        <v>21739.130434782608</v>
      </c>
    </row>
    <row r="201" spans="1:13" x14ac:dyDescent="0.3">
      <c r="A201">
        <v>2848</v>
      </c>
      <c r="B201" t="s">
        <v>368</v>
      </c>
      <c r="C201">
        <v>3</v>
      </c>
      <c r="D201">
        <v>2015</v>
      </c>
      <c r="E201">
        <v>5.5010070000000004</v>
      </c>
      <c r="F201">
        <v>36339.519999999997</v>
      </c>
      <c r="G201">
        <v>30.72579</v>
      </c>
      <c r="I201">
        <v>3.4364150000000002</v>
      </c>
      <c r="J201" s="5">
        <v>0.29100094138804539</v>
      </c>
      <c r="K201">
        <v>69</v>
      </c>
      <c r="L201">
        <v>2500000</v>
      </c>
      <c r="M201">
        <f t="shared" si="3"/>
        <v>36231.884057971016</v>
      </c>
    </row>
    <row r="202" spans="1:13" x14ac:dyDescent="0.3">
      <c r="A202">
        <v>2848</v>
      </c>
      <c r="B202" t="s">
        <v>368</v>
      </c>
      <c r="C202">
        <v>4</v>
      </c>
      <c r="D202">
        <v>2013</v>
      </c>
      <c r="E202">
        <v>5.5010070000000004</v>
      </c>
      <c r="F202">
        <v>59449.24</v>
      </c>
      <c r="G202">
        <v>30.72579</v>
      </c>
      <c r="I202">
        <v>3.4444940000000002</v>
      </c>
      <c r="J202" s="5">
        <v>0.29031840380619039</v>
      </c>
      <c r="K202">
        <v>69</v>
      </c>
      <c r="L202">
        <v>5500000</v>
      </c>
      <c r="M202">
        <f t="shared" si="3"/>
        <v>79710.144927536225</v>
      </c>
    </row>
    <row r="203" spans="1:13" x14ac:dyDescent="0.3">
      <c r="A203">
        <v>2848</v>
      </c>
      <c r="B203" t="s">
        <v>368</v>
      </c>
      <c r="C203">
        <v>5</v>
      </c>
      <c r="D203">
        <v>2015</v>
      </c>
      <c r="E203">
        <v>5.5010070000000004</v>
      </c>
      <c r="F203">
        <v>44051.05</v>
      </c>
      <c r="G203">
        <v>30.72579</v>
      </c>
      <c r="I203">
        <v>3.6237200000000001</v>
      </c>
      <c r="J203" s="5">
        <v>0.27595951122051371</v>
      </c>
      <c r="K203">
        <v>69</v>
      </c>
      <c r="L203">
        <v>3000000</v>
      </c>
      <c r="M203">
        <f t="shared" si="3"/>
        <v>43478.260869565216</v>
      </c>
    </row>
    <row r="204" spans="1:13" x14ac:dyDescent="0.3">
      <c r="A204">
        <v>2848</v>
      </c>
      <c r="B204" t="s">
        <v>368</v>
      </c>
      <c r="C204">
        <v>6</v>
      </c>
      <c r="D204">
        <v>2015</v>
      </c>
      <c r="E204">
        <v>5.5010070000000004</v>
      </c>
      <c r="F204">
        <v>37880.129999999997</v>
      </c>
      <c r="G204">
        <v>30.72579</v>
      </c>
      <c r="I204">
        <v>3.83833</v>
      </c>
      <c r="J204" s="5">
        <v>0.26052997006510642</v>
      </c>
      <c r="K204">
        <v>69</v>
      </c>
      <c r="L204">
        <v>3000000</v>
      </c>
      <c r="M204">
        <f t="shared" si="3"/>
        <v>43478.260869565216</v>
      </c>
    </row>
    <row r="205" spans="1:13" x14ac:dyDescent="0.3">
      <c r="A205">
        <v>2861</v>
      </c>
      <c r="B205" t="s">
        <v>369</v>
      </c>
      <c r="C205">
        <v>1</v>
      </c>
      <c r="D205">
        <v>2012</v>
      </c>
      <c r="E205">
        <v>2.2496559999999999</v>
      </c>
      <c r="F205">
        <v>140364</v>
      </c>
      <c r="G205">
        <v>30.72579</v>
      </c>
      <c r="I205">
        <v>2.870549</v>
      </c>
      <c r="J205" s="5">
        <v>0.34836541720764913</v>
      </c>
      <c r="K205">
        <v>132.80000000000001</v>
      </c>
      <c r="L205">
        <v>0</v>
      </c>
      <c r="M205">
        <f t="shared" si="3"/>
        <v>0</v>
      </c>
    </row>
    <row r="206" spans="1:13" x14ac:dyDescent="0.3">
      <c r="A206">
        <v>2861</v>
      </c>
      <c r="B206" t="s">
        <v>369</v>
      </c>
      <c r="C206">
        <v>2</v>
      </c>
      <c r="D206">
        <v>2012</v>
      </c>
      <c r="E206">
        <v>2.2496559999999999</v>
      </c>
      <c r="F206">
        <v>236139.5</v>
      </c>
      <c r="G206">
        <v>30.72579</v>
      </c>
      <c r="I206">
        <v>3.321069</v>
      </c>
      <c r="J206" s="5">
        <v>0.30110786617200663</v>
      </c>
      <c r="K206">
        <v>132.80000000000001</v>
      </c>
      <c r="L206">
        <v>17500000</v>
      </c>
      <c r="M206">
        <f t="shared" si="3"/>
        <v>131777.10843373492</v>
      </c>
    </row>
    <row r="207" spans="1:13" x14ac:dyDescent="0.3">
      <c r="A207">
        <v>2878</v>
      </c>
      <c r="B207" t="s">
        <v>370</v>
      </c>
      <c r="C207">
        <v>2</v>
      </c>
      <c r="D207">
        <v>2012</v>
      </c>
      <c r="E207">
        <v>2.2496559999999999</v>
      </c>
      <c r="F207">
        <v>670903.4</v>
      </c>
      <c r="G207">
        <v>30.72579</v>
      </c>
      <c r="I207">
        <v>3.0642969999999998</v>
      </c>
      <c r="J207" s="5">
        <v>0.32633912443865593</v>
      </c>
      <c r="K207">
        <v>140.6</v>
      </c>
      <c r="L207">
        <v>42500000</v>
      </c>
      <c r="M207">
        <f t="shared" si="3"/>
        <v>302275.96017069701</v>
      </c>
    </row>
    <row r="208" spans="1:13" x14ac:dyDescent="0.3">
      <c r="A208">
        <v>2878</v>
      </c>
      <c r="B208" t="s">
        <v>370</v>
      </c>
      <c r="C208">
        <v>3</v>
      </c>
      <c r="D208">
        <v>2012</v>
      </c>
      <c r="E208">
        <v>2.2496559999999999</v>
      </c>
      <c r="F208">
        <v>740183.6</v>
      </c>
      <c r="G208">
        <v>30.72579</v>
      </c>
      <c r="I208">
        <v>3.0199340000000001</v>
      </c>
      <c r="J208" s="5">
        <v>0.33113306449743601</v>
      </c>
      <c r="K208">
        <v>140.6</v>
      </c>
      <c r="L208">
        <v>42000000</v>
      </c>
      <c r="M208">
        <f t="shared" si="3"/>
        <v>298719.77240398293</v>
      </c>
    </row>
    <row r="209" spans="1:13" x14ac:dyDescent="0.3">
      <c r="A209">
        <v>2878</v>
      </c>
      <c r="B209" t="s">
        <v>370</v>
      </c>
      <c r="C209">
        <v>4</v>
      </c>
      <c r="D209">
        <v>2012</v>
      </c>
      <c r="E209">
        <v>2.2496559999999999</v>
      </c>
      <c r="F209">
        <v>1037775</v>
      </c>
      <c r="G209">
        <v>30.72579</v>
      </c>
      <c r="I209">
        <v>3.0296660000000002</v>
      </c>
      <c r="J209" s="5">
        <v>0.33006938718657436</v>
      </c>
      <c r="K209">
        <v>217.6</v>
      </c>
      <c r="L209">
        <v>54000000</v>
      </c>
      <c r="M209">
        <f t="shared" si="3"/>
        <v>248161.76470588235</v>
      </c>
    </row>
    <row r="210" spans="1:13" x14ac:dyDescent="0.3">
      <c r="A210">
        <v>2963</v>
      </c>
      <c r="B210" t="s">
        <v>79</v>
      </c>
      <c r="C210">
        <v>4</v>
      </c>
      <c r="D210">
        <v>2016</v>
      </c>
      <c r="E210">
        <v>1.5597989999999999</v>
      </c>
      <c r="F210">
        <v>2962491</v>
      </c>
      <c r="G210">
        <v>21.631219999999999</v>
      </c>
      <c r="I210">
        <v>2.8151220000000001</v>
      </c>
      <c r="J210" s="5">
        <v>0.3552243916959904</v>
      </c>
      <c r="K210">
        <v>473</v>
      </c>
      <c r="L210">
        <v>82500000</v>
      </c>
      <c r="M210">
        <f t="shared" si="3"/>
        <v>174418.60465116278</v>
      </c>
    </row>
    <row r="211" spans="1:13" x14ac:dyDescent="0.3">
      <c r="A211">
        <v>3113</v>
      </c>
      <c r="B211" t="s">
        <v>371</v>
      </c>
      <c r="C211">
        <v>2</v>
      </c>
      <c r="D211">
        <v>2013</v>
      </c>
      <c r="E211">
        <v>2.7281089999999999</v>
      </c>
      <c r="F211">
        <v>997007.3</v>
      </c>
      <c r="G211">
        <v>30.528749999999999</v>
      </c>
      <c r="I211">
        <v>2.6271309999999999</v>
      </c>
      <c r="J211" s="5">
        <v>0.38064337103859686</v>
      </c>
      <c r="K211">
        <v>255</v>
      </c>
      <c r="L211">
        <v>37000000</v>
      </c>
      <c r="M211">
        <f t="shared" si="3"/>
        <v>145098.03921568627</v>
      </c>
    </row>
    <row r="212" spans="1:13" x14ac:dyDescent="0.3">
      <c r="A212">
        <v>3115</v>
      </c>
      <c r="B212" t="s">
        <v>372</v>
      </c>
      <c r="C212">
        <v>1</v>
      </c>
      <c r="D212">
        <v>2013</v>
      </c>
      <c r="E212">
        <v>2.7281089999999999</v>
      </c>
      <c r="F212">
        <v>258258.8</v>
      </c>
      <c r="G212">
        <v>30.528749999999999</v>
      </c>
      <c r="I212">
        <v>2.9025509999999999</v>
      </c>
      <c r="J212" s="5">
        <v>0.34452452342783985</v>
      </c>
      <c r="K212">
        <v>75</v>
      </c>
      <c r="L212">
        <v>12000000</v>
      </c>
      <c r="M212">
        <f t="shared" si="3"/>
        <v>160000</v>
      </c>
    </row>
    <row r="213" spans="1:13" x14ac:dyDescent="0.3">
      <c r="A213">
        <v>3115</v>
      </c>
      <c r="B213" t="s">
        <v>372</v>
      </c>
      <c r="C213">
        <v>2</v>
      </c>
      <c r="D213">
        <v>2013</v>
      </c>
      <c r="E213">
        <v>2.7281089999999999</v>
      </c>
      <c r="F213">
        <v>280217.3</v>
      </c>
      <c r="G213">
        <v>30.528749999999999</v>
      </c>
      <c r="I213">
        <v>2.9998999999999998</v>
      </c>
      <c r="J213" s="5">
        <v>0.33334444481482717</v>
      </c>
      <c r="K213">
        <v>75</v>
      </c>
      <c r="L213">
        <v>15500000</v>
      </c>
      <c r="M213">
        <f t="shared" si="3"/>
        <v>206666.66666666666</v>
      </c>
    </row>
    <row r="214" spans="1:13" x14ac:dyDescent="0.3">
      <c r="A214">
        <v>3115</v>
      </c>
      <c r="B214" t="s">
        <v>372</v>
      </c>
      <c r="C214">
        <v>3</v>
      </c>
      <c r="D214">
        <v>2013</v>
      </c>
      <c r="E214">
        <v>2.7281089999999999</v>
      </c>
      <c r="F214">
        <v>251882.1</v>
      </c>
      <c r="G214">
        <v>30.528749999999999</v>
      </c>
      <c r="I214">
        <v>2.881955</v>
      </c>
      <c r="J214" s="5">
        <v>0.34698668091625301</v>
      </c>
      <c r="K214">
        <v>75</v>
      </c>
      <c r="L214">
        <v>10500000</v>
      </c>
      <c r="M214">
        <f t="shared" si="3"/>
        <v>140000</v>
      </c>
    </row>
    <row r="215" spans="1:13" x14ac:dyDescent="0.3">
      <c r="A215">
        <v>3149</v>
      </c>
      <c r="B215" t="s">
        <v>84</v>
      </c>
      <c r="C215">
        <v>11</v>
      </c>
      <c r="D215">
        <v>2019</v>
      </c>
      <c r="E215">
        <v>2.7281089999999999</v>
      </c>
      <c r="F215">
        <v>3189952</v>
      </c>
      <c r="G215">
        <v>30.528749999999999</v>
      </c>
      <c r="I215">
        <v>2.2683409999999999</v>
      </c>
      <c r="J215" s="5">
        <v>0.44085082445716939</v>
      </c>
      <c r="K215">
        <v>17.2</v>
      </c>
      <c r="L215" s="6">
        <v>340500000</v>
      </c>
      <c r="M215">
        <f t="shared" si="3"/>
        <v>19796511.627906978</v>
      </c>
    </row>
    <row r="216" spans="1:13" x14ac:dyDescent="0.3">
      <c r="A216">
        <v>3152</v>
      </c>
      <c r="B216" t="s">
        <v>373</v>
      </c>
      <c r="C216">
        <v>1</v>
      </c>
      <c r="D216">
        <v>2014</v>
      </c>
      <c r="E216">
        <v>2.7281089999999999</v>
      </c>
      <c r="F216">
        <v>109721</v>
      </c>
      <c r="G216">
        <v>30.528749999999999</v>
      </c>
      <c r="I216">
        <v>1.7439119999999999</v>
      </c>
      <c r="J216" s="5">
        <v>0.57342342962259563</v>
      </c>
      <c r="K216">
        <v>89.1</v>
      </c>
      <c r="L216">
        <v>0</v>
      </c>
      <c r="M216">
        <f t="shared" si="3"/>
        <v>0</v>
      </c>
    </row>
    <row r="217" spans="1:13" x14ac:dyDescent="0.3">
      <c r="A217">
        <v>3152</v>
      </c>
      <c r="B217" t="s">
        <v>373</v>
      </c>
      <c r="C217">
        <v>2</v>
      </c>
      <c r="D217">
        <v>2014</v>
      </c>
      <c r="E217">
        <v>2.7281089999999999</v>
      </c>
      <c r="F217">
        <v>786729.3</v>
      </c>
      <c r="G217">
        <v>30.528749999999999</v>
      </c>
      <c r="I217">
        <v>6.8648829999999998</v>
      </c>
      <c r="J217" s="5">
        <v>0.14566890652032963</v>
      </c>
      <c r="K217">
        <v>89.1</v>
      </c>
      <c r="L217">
        <v>70500000</v>
      </c>
      <c r="M217">
        <f t="shared" si="3"/>
        <v>791245.79124579125</v>
      </c>
    </row>
    <row r="218" spans="1:13" x14ac:dyDescent="0.3">
      <c r="A218">
        <v>3152</v>
      </c>
      <c r="B218" t="s">
        <v>373</v>
      </c>
      <c r="C218">
        <v>3</v>
      </c>
      <c r="D218">
        <v>2014</v>
      </c>
      <c r="E218">
        <v>2.7281089999999999</v>
      </c>
      <c r="F218">
        <v>262852.90000000002</v>
      </c>
      <c r="G218">
        <v>30.528749999999999</v>
      </c>
      <c r="I218">
        <v>2.8862209999999999</v>
      </c>
      <c r="J218" s="5">
        <v>0.34647381472174171</v>
      </c>
      <c r="K218">
        <v>103.5</v>
      </c>
      <c r="L218">
        <v>8000000</v>
      </c>
      <c r="M218">
        <f t="shared" si="3"/>
        <v>77294.68599033817</v>
      </c>
    </row>
    <row r="219" spans="1:13" x14ac:dyDescent="0.3">
      <c r="A219">
        <v>3152</v>
      </c>
      <c r="B219" t="s">
        <v>373</v>
      </c>
      <c r="C219">
        <v>4</v>
      </c>
      <c r="D219">
        <v>2014</v>
      </c>
      <c r="E219">
        <v>2.7281089999999999</v>
      </c>
      <c r="F219">
        <v>443987.8</v>
      </c>
      <c r="G219">
        <v>30.528749999999999</v>
      </c>
      <c r="I219">
        <v>2.6171380000000002</v>
      </c>
      <c r="J219" s="5">
        <v>0.38209677900057237</v>
      </c>
      <c r="K219">
        <v>156.19999999999999</v>
      </c>
      <c r="L219">
        <v>14000000</v>
      </c>
      <c r="M219">
        <f t="shared" si="3"/>
        <v>89628.681177976963</v>
      </c>
    </row>
    <row r="220" spans="1:13" x14ac:dyDescent="0.3">
      <c r="A220">
        <v>3159</v>
      </c>
      <c r="B220" t="s">
        <v>374</v>
      </c>
      <c r="C220">
        <v>1</v>
      </c>
      <c r="D220">
        <v>2011</v>
      </c>
      <c r="E220">
        <v>2.7281089999999999</v>
      </c>
      <c r="F220">
        <v>527593.6</v>
      </c>
      <c r="G220">
        <v>30.528749999999999</v>
      </c>
      <c r="I220">
        <v>3.1548240000000001</v>
      </c>
      <c r="J220" s="5">
        <v>0.31697489305267107</v>
      </c>
      <c r="K220">
        <v>187.5</v>
      </c>
      <c r="L220">
        <v>27500000</v>
      </c>
      <c r="M220">
        <f t="shared" si="3"/>
        <v>146666.66666666666</v>
      </c>
    </row>
    <row r="221" spans="1:13" x14ac:dyDescent="0.3">
      <c r="A221">
        <v>3161</v>
      </c>
      <c r="B221" t="s">
        <v>375</v>
      </c>
      <c r="C221">
        <v>1</v>
      </c>
      <c r="D221">
        <v>2011</v>
      </c>
      <c r="E221">
        <v>2.7281089999999999</v>
      </c>
      <c r="F221">
        <v>926186.1</v>
      </c>
      <c r="G221">
        <v>30.528749999999999</v>
      </c>
      <c r="I221">
        <v>3.165816</v>
      </c>
      <c r="J221" s="5">
        <v>0.31587432750355676</v>
      </c>
      <c r="K221">
        <v>353.6</v>
      </c>
      <c r="L221">
        <v>56000000</v>
      </c>
      <c r="M221">
        <f t="shared" si="3"/>
        <v>158371.04072398189</v>
      </c>
    </row>
    <row r="222" spans="1:13" x14ac:dyDescent="0.3">
      <c r="A222">
        <v>3161</v>
      </c>
      <c r="B222" t="s">
        <v>375</v>
      </c>
      <c r="C222">
        <v>2</v>
      </c>
      <c r="D222">
        <v>2012</v>
      </c>
      <c r="E222">
        <v>2.7281089999999999</v>
      </c>
      <c r="F222">
        <v>1035112</v>
      </c>
      <c r="G222">
        <v>30.528749999999999</v>
      </c>
      <c r="I222">
        <v>3.0201289999999998</v>
      </c>
      <c r="J222" s="5">
        <v>0.33111168430222682</v>
      </c>
      <c r="K222">
        <v>353.6</v>
      </c>
      <c r="L222">
        <v>64000000</v>
      </c>
      <c r="M222">
        <f t="shared" si="3"/>
        <v>180995.47511312217</v>
      </c>
    </row>
    <row r="223" spans="1:13" x14ac:dyDescent="0.3">
      <c r="A223">
        <v>3251</v>
      </c>
      <c r="B223" t="s">
        <v>376</v>
      </c>
      <c r="C223">
        <v>1</v>
      </c>
      <c r="D223">
        <v>2012</v>
      </c>
      <c r="E223">
        <v>3.9345919999999999</v>
      </c>
      <c r="F223">
        <v>763801.3</v>
      </c>
      <c r="G223">
        <v>27.79637</v>
      </c>
      <c r="I223">
        <v>2.6192250000000001</v>
      </c>
      <c r="J223" s="5">
        <v>0.38179232406532465</v>
      </c>
      <c r="K223">
        <v>206.6</v>
      </c>
      <c r="L223">
        <v>39000000</v>
      </c>
      <c r="M223">
        <f t="shared" si="3"/>
        <v>188770.57115198451</v>
      </c>
    </row>
    <row r="224" spans="1:13" x14ac:dyDescent="0.3">
      <c r="A224">
        <v>3264</v>
      </c>
      <c r="B224" t="s">
        <v>303</v>
      </c>
      <c r="C224">
        <v>1</v>
      </c>
      <c r="D224">
        <v>2014</v>
      </c>
      <c r="E224">
        <v>3.6072099999999998</v>
      </c>
      <c r="F224">
        <v>181149.4</v>
      </c>
      <c r="G224">
        <v>27.79637</v>
      </c>
      <c r="I224">
        <v>3.2743959999999999</v>
      </c>
      <c r="J224" s="5">
        <v>0.30539983557272854</v>
      </c>
      <c r="K224">
        <v>90</v>
      </c>
      <c r="L224">
        <v>9000000</v>
      </c>
      <c r="M224">
        <f t="shared" si="3"/>
        <v>100000</v>
      </c>
    </row>
    <row r="225" spans="1:13" x14ac:dyDescent="0.3">
      <c r="A225">
        <v>3264</v>
      </c>
      <c r="B225" t="s">
        <v>303</v>
      </c>
      <c r="C225">
        <v>2</v>
      </c>
      <c r="D225">
        <v>2014</v>
      </c>
      <c r="E225">
        <v>3.6072099999999998</v>
      </c>
      <c r="F225">
        <v>199516.4</v>
      </c>
      <c r="G225">
        <v>27.79637</v>
      </c>
      <c r="I225">
        <v>3.1482329999999998</v>
      </c>
      <c r="J225" s="5">
        <v>0.31763849753179008</v>
      </c>
      <c r="K225">
        <v>90</v>
      </c>
      <c r="L225">
        <v>9500000</v>
      </c>
      <c r="M225">
        <f t="shared" si="3"/>
        <v>105555.55555555556</v>
      </c>
    </row>
    <row r="226" spans="1:13" x14ac:dyDescent="0.3">
      <c r="A226">
        <v>3280</v>
      </c>
      <c r="B226" t="s">
        <v>377</v>
      </c>
      <c r="C226">
        <v>1</v>
      </c>
      <c r="D226">
        <v>2012</v>
      </c>
      <c r="E226">
        <v>4.2339000000000002</v>
      </c>
      <c r="F226">
        <v>187307.4</v>
      </c>
      <c r="G226">
        <v>27.79637</v>
      </c>
      <c r="I226">
        <v>1.977922</v>
      </c>
      <c r="J226" s="5">
        <v>0.50558110987187566</v>
      </c>
      <c r="K226">
        <v>136</v>
      </c>
      <c r="L226">
        <v>0</v>
      </c>
      <c r="M226">
        <f t="shared" si="3"/>
        <v>0</v>
      </c>
    </row>
    <row r="227" spans="1:13" x14ac:dyDescent="0.3">
      <c r="A227">
        <v>3280</v>
      </c>
      <c r="B227" t="s">
        <v>377</v>
      </c>
      <c r="C227">
        <v>2</v>
      </c>
      <c r="D227">
        <v>2013</v>
      </c>
      <c r="E227">
        <v>4.2339000000000002</v>
      </c>
      <c r="F227">
        <v>66386.880000000005</v>
      </c>
      <c r="G227">
        <v>27.79637</v>
      </c>
      <c r="I227">
        <v>1.5766519999999999</v>
      </c>
      <c r="J227" s="5">
        <v>0.63425537150874134</v>
      </c>
      <c r="K227">
        <v>136</v>
      </c>
      <c r="L227">
        <v>0</v>
      </c>
      <c r="M227">
        <f t="shared" si="3"/>
        <v>0</v>
      </c>
    </row>
    <row r="228" spans="1:13" x14ac:dyDescent="0.3">
      <c r="A228">
        <v>3280</v>
      </c>
      <c r="B228" t="s">
        <v>377</v>
      </c>
      <c r="C228">
        <v>3</v>
      </c>
      <c r="D228">
        <v>2013</v>
      </c>
      <c r="E228">
        <v>4.2339000000000002</v>
      </c>
      <c r="F228">
        <v>117683.8</v>
      </c>
      <c r="G228">
        <v>27.79637</v>
      </c>
      <c r="I228">
        <v>1.637613</v>
      </c>
      <c r="J228" s="5">
        <v>0.6106448837423738</v>
      </c>
      <c r="K228">
        <v>217.6</v>
      </c>
      <c r="L228">
        <v>0</v>
      </c>
      <c r="M228">
        <f t="shared" si="3"/>
        <v>0</v>
      </c>
    </row>
    <row r="229" spans="1:13" x14ac:dyDescent="0.3">
      <c r="A229">
        <v>3317</v>
      </c>
      <c r="B229" t="s">
        <v>378</v>
      </c>
      <c r="C229">
        <v>1</v>
      </c>
      <c r="D229">
        <v>2012</v>
      </c>
      <c r="E229">
        <v>3.9839370000000001</v>
      </c>
      <c r="F229">
        <v>218208</v>
      </c>
      <c r="G229">
        <v>27.79637</v>
      </c>
      <c r="I229">
        <v>3.1284939999999999</v>
      </c>
      <c r="J229" s="5">
        <v>0.31964261398615434</v>
      </c>
      <c r="K229">
        <v>81.599999999999994</v>
      </c>
      <c r="L229">
        <v>13500000</v>
      </c>
      <c r="M229">
        <f t="shared" si="3"/>
        <v>165441.17647058825</v>
      </c>
    </row>
    <row r="230" spans="1:13" x14ac:dyDescent="0.3">
      <c r="A230">
        <v>3317</v>
      </c>
      <c r="B230" t="s">
        <v>378</v>
      </c>
      <c r="C230">
        <v>2</v>
      </c>
      <c r="D230">
        <v>2012</v>
      </c>
      <c r="E230">
        <v>3.9839370000000001</v>
      </c>
      <c r="F230">
        <v>221040</v>
      </c>
      <c r="G230">
        <v>27.79637</v>
      </c>
      <c r="I230">
        <v>3.13435</v>
      </c>
      <c r="J230" s="5">
        <v>0.31904541611498399</v>
      </c>
      <c r="K230">
        <v>81.599999999999994</v>
      </c>
      <c r="L230">
        <v>13000000</v>
      </c>
      <c r="M230">
        <f t="shared" si="3"/>
        <v>159313.72549019608</v>
      </c>
    </row>
    <row r="231" spans="1:13" x14ac:dyDescent="0.3">
      <c r="A231">
        <v>3319</v>
      </c>
      <c r="B231" t="s">
        <v>379</v>
      </c>
      <c r="C231">
        <v>3</v>
      </c>
      <c r="D231">
        <v>2012</v>
      </c>
      <c r="E231">
        <v>3.8450310000000001</v>
      </c>
      <c r="F231">
        <v>207580.2</v>
      </c>
      <c r="G231">
        <v>27.79637</v>
      </c>
      <c r="I231">
        <v>2.5544120000000001</v>
      </c>
      <c r="J231" s="5">
        <v>0.39147952640372813</v>
      </c>
      <c r="K231">
        <v>172.8</v>
      </c>
      <c r="L231">
        <v>5000000</v>
      </c>
      <c r="M231">
        <f t="shared" si="3"/>
        <v>28935.185185185182</v>
      </c>
    </row>
    <row r="232" spans="1:13" x14ac:dyDescent="0.3">
      <c r="A232">
        <v>3319</v>
      </c>
      <c r="B232" t="s">
        <v>379</v>
      </c>
      <c r="C232">
        <v>4</v>
      </c>
      <c r="D232">
        <v>2012</v>
      </c>
      <c r="E232">
        <v>3.8450310000000001</v>
      </c>
      <c r="F232">
        <v>219019.5</v>
      </c>
      <c r="G232">
        <v>27.79637</v>
      </c>
      <c r="I232">
        <v>2.6044999999999998</v>
      </c>
      <c r="J232" s="5">
        <v>0.38395085429065084</v>
      </c>
      <c r="K232">
        <v>172.8</v>
      </c>
      <c r="L232">
        <v>8000000</v>
      </c>
      <c r="M232">
        <f t="shared" si="3"/>
        <v>46296.296296296292</v>
      </c>
    </row>
    <row r="233" spans="1:13" x14ac:dyDescent="0.3">
      <c r="A233">
        <v>3393</v>
      </c>
      <c r="B233" t="s">
        <v>304</v>
      </c>
      <c r="C233">
        <v>1</v>
      </c>
      <c r="D233">
        <v>2018</v>
      </c>
      <c r="E233">
        <v>2.1591320000000001</v>
      </c>
      <c r="F233">
        <v>153172.1</v>
      </c>
      <c r="G233">
        <v>40.691279999999999</v>
      </c>
      <c r="I233">
        <v>1.4105859999999999</v>
      </c>
      <c r="J233" s="5">
        <v>0.70892522682062642</v>
      </c>
      <c r="K233">
        <v>330</v>
      </c>
      <c r="L233">
        <v>0</v>
      </c>
      <c r="M233">
        <f t="shared" si="3"/>
        <v>0</v>
      </c>
    </row>
    <row r="234" spans="1:13" x14ac:dyDescent="0.3">
      <c r="A234">
        <v>3393</v>
      </c>
      <c r="B234" t="s">
        <v>304</v>
      </c>
      <c r="C234">
        <v>2</v>
      </c>
      <c r="D234">
        <v>2018</v>
      </c>
      <c r="E234">
        <v>2.1591320000000001</v>
      </c>
      <c r="F234">
        <v>150794.29999999999</v>
      </c>
      <c r="G234">
        <v>40.691279999999999</v>
      </c>
      <c r="I234">
        <v>1.3225659999999999</v>
      </c>
      <c r="J234" s="5">
        <v>0.75610593346570232</v>
      </c>
      <c r="K234">
        <v>330</v>
      </c>
      <c r="L234">
        <v>0</v>
      </c>
      <c r="M234">
        <f t="shared" si="3"/>
        <v>0</v>
      </c>
    </row>
    <row r="235" spans="1:13" x14ac:dyDescent="0.3">
      <c r="A235">
        <v>3393</v>
      </c>
      <c r="B235" t="s">
        <v>304</v>
      </c>
      <c r="C235">
        <v>3</v>
      </c>
      <c r="D235">
        <v>2018</v>
      </c>
      <c r="E235">
        <v>2.1591320000000001</v>
      </c>
      <c r="F235">
        <v>148024.6</v>
      </c>
      <c r="G235">
        <v>40.691279999999999</v>
      </c>
      <c r="I235">
        <v>1.410736</v>
      </c>
      <c r="J235" s="5">
        <v>0.70884984858967237</v>
      </c>
      <c r="K235">
        <v>330</v>
      </c>
      <c r="L235">
        <v>0</v>
      </c>
      <c r="M235">
        <f t="shared" si="3"/>
        <v>0</v>
      </c>
    </row>
    <row r="236" spans="1:13" x14ac:dyDescent="0.3">
      <c r="A236">
        <v>3405</v>
      </c>
      <c r="B236" t="s">
        <v>380</v>
      </c>
      <c r="C236">
        <v>1</v>
      </c>
      <c r="D236">
        <v>2012</v>
      </c>
      <c r="E236">
        <v>3.1075940000000002</v>
      </c>
      <c r="F236">
        <v>885314.8</v>
      </c>
      <c r="G236">
        <v>40.691279999999999</v>
      </c>
      <c r="I236">
        <v>1.6364399999999999</v>
      </c>
      <c r="J236" s="5">
        <v>0.6110825939233947</v>
      </c>
      <c r="K236">
        <v>200</v>
      </c>
      <c r="L236">
        <v>26500000</v>
      </c>
      <c r="M236">
        <f t="shared" si="3"/>
        <v>132500</v>
      </c>
    </row>
    <row r="237" spans="1:13" x14ac:dyDescent="0.3">
      <c r="A237">
        <v>3405</v>
      </c>
      <c r="B237" t="s">
        <v>380</v>
      </c>
      <c r="C237">
        <v>2</v>
      </c>
      <c r="D237">
        <v>2012</v>
      </c>
      <c r="E237">
        <v>3.1075940000000002</v>
      </c>
      <c r="F237">
        <v>715035.5</v>
      </c>
      <c r="G237">
        <v>40.691279999999999</v>
      </c>
      <c r="I237">
        <v>2.516947</v>
      </c>
      <c r="J237" s="5">
        <v>0.39730673709061015</v>
      </c>
      <c r="K237">
        <v>200</v>
      </c>
      <c r="L237">
        <v>26000000</v>
      </c>
      <c r="M237">
        <f t="shared" si="3"/>
        <v>130000</v>
      </c>
    </row>
    <row r="238" spans="1:13" x14ac:dyDescent="0.3">
      <c r="A238">
        <v>3405</v>
      </c>
      <c r="B238" t="s">
        <v>380</v>
      </c>
      <c r="C238">
        <v>3</v>
      </c>
      <c r="D238">
        <v>2014</v>
      </c>
      <c r="E238">
        <v>3.1075940000000002</v>
      </c>
      <c r="F238">
        <v>870634.8</v>
      </c>
      <c r="G238">
        <v>40.691279999999999</v>
      </c>
      <c r="I238">
        <v>2.5965660000000002</v>
      </c>
      <c r="J238" s="5">
        <v>0.38512404460352634</v>
      </c>
      <c r="K238">
        <v>200</v>
      </c>
      <c r="L238">
        <v>37500000</v>
      </c>
      <c r="M238">
        <f t="shared" si="3"/>
        <v>187500</v>
      </c>
    </row>
    <row r="239" spans="1:13" x14ac:dyDescent="0.3">
      <c r="A239">
        <v>3405</v>
      </c>
      <c r="B239" t="s">
        <v>380</v>
      </c>
      <c r="C239">
        <v>4</v>
      </c>
      <c r="D239">
        <v>2014</v>
      </c>
      <c r="E239">
        <v>3.1075940000000002</v>
      </c>
      <c r="F239">
        <v>851286.1</v>
      </c>
      <c r="G239">
        <v>40.691279999999999</v>
      </c>
      <c r="I239">
        <v>2.1098300000000001</v>
      </c>
      <c r="J239" s="5">
        <v>0.47397183659346959</v>
      </c>
      <c r="K239">
        <v>200</v>
      </c>
      <c r="L239">
        <v>33500000</v>
      </c>
      <c r="M239">
        <f t="shared" si="3"/>
        <v>167500</v>
      </c>
    </row>
    <row r="240" spans="1:13" x14ac:dyDescent="0.3">
      <c r="A240">
        <v>3406</v>
      </c>
      <c r="B240" t="s">
        <v>381</v>
      </c>
      <c r="C240">
        <v>1</v>
      </c>
      <c r="D240">
        <v>2017</v>
      </c>
      <c r="E240">
        <v>2.4037350000000002</v>
      </c>
      <c r="F240">
        <v>66856.38</v>
      </c>
      <c r="G240">
        <v>40.691279999999999</v>
      </c>
      <c r="I240">
        <v>1.8474569999999999</v>
      </c>
      <c r="J240" s="5">
        <v>0.54128458740852969</v>
      </c>
      <c r="K240">
        <v>125</v>
      </c>
      <c r="L240">
        <v>0</v>
      </c>
      <c r="M240">
        <f t="shared" si="3"/>
        <v>0</v>
      </c>
    </row>
    <row r="241" spans="1:13" x14ac:dyDescent="0.3">
      <c r="A241">
        <v>3406</v>
      </c>
      <c r="B241" t="s">
        <v>381</v>
      </c>
      <c r="C241">
        <v>10</v>
      </c>
      <c r="D241">
        <v>2015</v>
      </c>
      <c r="E241">
        <v>2.4037350000000002</v>
      </c>
      <c r="F241">
        <v>580946.69999999995</v>
      </c>
      <c r="G241">
        <v>40.691279999999999</v>
      </c>
      <c r="I241">
        <v>2.646871</v>
      </c>
      <c r="J241" s="5">
        <v>0.37780458511200582</v>
      </c>
      <c r="K241">
        <v>172.8</v>
      </c>
      <c r="L241">
        <v>23000000</v>
      </c>
      <c r="M241">
        <f t="shared" si="3"/>
        <v>133101.85185185185</v>
      </c>
    </row>
    <row r="242" spans="1:13" x14ac:dyDescent="0.3">
      <c r="A242">
        <v>3406</v>
      </c>
      <c r="B242" t="s">
        <v>381</v>
      </c>
      <c r="C242">
        <v>2</v>
      </c>
      <c r="D242">
        <v>2017</v>
      </c>
      <c r="E242">
        <v>2.4037350000000002</v>
      </c>
      <c r="F242">
        <v>60200.45</v>
      </c>
      <c r="G242">
        <v>40.691279999999999</v>
      </c>
      <c r="I242">
        <v>1.728739</v>
      </c>
      <c r="J242" s="5">
        <v>0.5784563198956002</v>
      </c>
      <c r="K242">
        <v>125</v>
      </c>
      <c r="L242">
        <v>0</v>
      </c>
      <c r="M242">
        <f t="shared" si="3"/>
        <v>0</v>
      </c>
    </row>
    <row r="243" spans="1:13" x14ac:dyDescent="0.3">
      <c r="A243">
        <v>3406</v>
      </c>
      <c r="B243" t="s">
        <v>381</v>
      </c>
      <c r="C243">
        <v>3</v>
      </c>
      <c r="D243">
        <v>2017</v>
      </c>
      <c r="E243">
        <v>2.4037350000000002</v>
      </c>
      <c r="F243">
        <v>60393.72</v>
      </c>
      <c r="G243">
        <v>40.691279999999999</v>
      </c>
      <c r="I243">
        <v>1.603871</v>
      </c>
      <c r="J243" s="5">
        <v>0.62349154015503738</v>
      </c>
      <c r="K243">
        <v>125</v>
      </c>
      <c r="L243">
        <v>0</v>
      </c>
      <c r="M243">
        <f t="shared" si="3"/>
        <v>0</v>
      </c>
    </row>
    <row r="244" spans="1:13" x14ac:dyDescent="0.3">
      <c r="A244">
        <v>3406</v>
      </c>
      <c r="B244" t="s">
        <v>381</v>
      </c>
      <c r="C244">
        <v>4</v>
      </c>
      <c r="D244">
        <v>2017</v>
      </c>
      <c r="E244">
        <v>2.4037350000000002</v>
      </c>
      <c r="F244">
        <v>63848.9</v>
      </c>
      <c r="G244">
        <v>40.691279999999999</v>
      </c>
      <c r="I244">
        <v>1.56033</v>
      </c>
      <c r="J244" s="5">
        <v>0.6408900681266142</v>
      </c>
      <c r="K244">
        <v>125</v>
      </c>
      <c r="L244">
        <v>0</v>
      </c>
      <c r="M244">
        <f t="shared" si="3"/>
        <v>0</v>
      </c>
    </row>
    <row r="245" spans="1:13" x14ac:dyDescent="0.3">
      <c r="A245">
        <v>3406</v>
      </c>
      <c r="B245" t="s">
        <v>381</v>
      </c>
      <c r="C245">
        <v>5</v>
      </c>
      <c r="D245">
        <v>2015</v>
      </c>
      <c r="E245">
        <v>2.4037350000000002</v>
      </c>
      <c r="F245">
        <v>242202.7</v>
      </c>
      <c r="G245">
        <v>40.691279999999999</v>
      </c>
      <c r="I245">
        <v>2.1858119999999999</v>
      </c>
      <c r="J245" s="5">
        <v>0.45749588711197486</v>
      </c>
      <c r="K245">
        <v>147</v>
      </c>
      <c r="L245">
        <v>0</v>
      </c>
      <c r="M245">
        <f t="shared" si="3"/>
        <v>0</v>
      </c>
    </row>
    <row r="246" spans="1:13" x14ac:dyDescent="0.3">
      <c r="A246">
        <v>3406</v>
      </c>
      <c r="B246" t="s">
        <v>381</v>
      </c>
      <c r="C246">
        <v>6</v>
      </c>
      <c r="D246">
        <v>2015</v>
      </c>
      <c r="E246">
        <v>2.4037350000000002</v>
      </c>
      <c r="F246">
        <v>241369</v>
      </c>
      <c r="G246">
        <v>40.691279999999999</v>
      </c>
      <c r="I246">
        <v>2.1419350000000001</v>
      </c>
      <c r="J246" s="5">
        <v>0.46686757534659079</v>
      </c>
      <c r="K246">
        <v>147</v>
      </c>
      <c r="L246">
        <v>0</v>
      </c>
      <c r="M246">
        <f t="shared" si="3"/>
        <v>0</v>
      </c>
    </row>
    <row r="247" spans="1:13" x14ac:dyDescent="0.3">
      <c r="A247">
        <v>3406</v>
      </c>
      <c r="B247" t="s">
        <v>381</v>
      </c>
      <c r="C247">
        <v>7</v>
      </c>
      <c r="D247">
        <v>2015</v>
      </c>
      <c r="E247">
        <v>2.4037350000000002</v>
      </c>
      <c r="F247">
        <v>704293.8</v>
      </c>
      <c r="G247">
        <v>40.691279999999999</v>
      </c>
      <c r="I247">
        <v>2.9512890000000001</v>
      </c>
      <c r="J247" s="5">
        <v>0.33883499718258697</v>
      </c>
      <c r="K247">
        <v>172.8</v>
      </c>
      <c r="L247">
        <v>37500000</v>
      </c>
      <c r="M247">
        <f t="shared" si="3"/>
        <v>217013.88888888888</v>
      </c>
    </row>
    <row r="248" spans="1:13" x14ac:dyDescent="0.3">
      <c r="A248">
        <v>3406</v>
      </c>
      <c r="B248" t="s">
        <v>381</v>
      </c>
      <c r="C248">
        <v>8</v>
      </c>
      <c r="D248">
        <v>2015</v>
      </c>
      <c r="E248">
        <v>2.4037350000000002</v>
      </c>
      <c r="F248">
        <v>549014.1</v>
      </c>
      <c r="G248">
        <v>40.691279999999999</v>
      </c>
      <c r="I248">
        <v>2.9739800000000001</v>
      </c>
      <c r="J248" s="5">
        <v>0.33624973940645198</v>
      </c>
      <c r="K248">
        <v>172.8</v>
      </c>
      <c r="L248">
        <v>26500000</v>
      </c>
      <c r="M248">
        <f t="shared" si="3"/>
        <v>153356.48148148146</v>
      </c>
    </row>
    <row r="249" spans="1:13" x14ac:dyDescent="0.3">
      <c r="A249">
        <v>3406</v>
      </c>
      <c r="B249" t="s">
        <v>381</v>
      </c>
      <c r="C249">
        <v>9</v>
      </c>
      <c r="D249">
        <v>2015</v>
      </c>
      <c r="E249">
        <v>2.4037350000000002</v>
      </c>
      <c r="F249">
        <v>626703.9</v>
      </c>
      <c r="G249">
        <v>40.691279999999999</v>
      </c>
      <c r="I249">
        <v>2.844163</v>
      </c>
      <c r="J249" s="5">
        <v>0.35159728890362474</v>
      </c>
      <c r="K249">
        <v>172.8</v>
      </c>
      <c r="L249">
        <v>26000000</v>
      </c>
      <c r="M249">
        <f t="shared" si="3"/>
        <v>150462.96296296295</v>
      </c>
    </row>
    <row r="250" spans="1:13" x14ac:dyDescent="0.3">
      <c r="A250">
        <v>3497</v>
      </c>
      <c r="B250" t="s">
        <v>382</v>
      </c>
      <c r="C250">
        <v>1</v>
      </c>
      <c r="D250">
        <v>2018</v>
      </c>
      <c r="E250">
        <v>2.0576340000000002</v>
      </c>
      <c r="F250">
        <v>386885.4</v>
      </c>
      <c r="G250">
        <v>25.530670000000001</v>
      </c>
      <c r="I250">
        <v>1.3111390000000001</v>
      </c>
      <c r="J250" s="5">
        <v>0.76269564096560316</v>
      </c>
      <c r="K250">
        <v>593.4</v>
      </c>
      <c r="L250">
        <v>0</v>
      </c>
      <c r="M250">
        <f t="shared" si="3"/>
        <v>0</v>
      </c>
    </row>
    <row r="251" spans="1:13" x14ac:dyDescent="0.3">
      <c r="A251">
        <v>3497</v>
      </c>
      <c r="B251" t="s">
        <v>382</v>
      </c>
      <c r="C251">
        <v>2</v>
      </c>
      <c r="D251">
        <v>2018</v>
      </c>
      <c r="E251">
        <v>2.0576340000000002</v>
      </c>
      <c r="F251">
        <v>389881.9</v>
      </c>
      <c r="G251">
        <v>25.530670000000001</v>
      </c>
      <c r="I251">
        <v>1.29068</v>
      </c>
      <c r="J251" s="5">
        <v>0.77478538444850775</v>
      </c>
      <c r="K251">
        <v>593.4</v>
      </c>
      <c r="L251">
        <v>0</v>
      </c>
      <c r="M251">
        <f t="shared" si="3"/>
        <v>0</v>
      </c>
    </row>
    <row r="252" spans="1:13" x14ac:dyDescent="0.3">
      <c r="A252">
        <v>3644</v>
      </c>
      <c r="B252" t="s">
        <v>383</v>
      </c>
      <c r="C252">
        <v>1</v>
      </c>
      <c r="D252">
        <v>2015</v>
      </c>
      <c r="E252">
        <v>1.6983790000000001</v>
      </c>
      <c r="F252">
        <v>479225.7</v>
      </c>
      <c r="G252">
        <v>21.925370000000001</v>
      </c>
      <c r="I252">
        <v>3.1538689999999998</v>
      </c>
      <c r="J252" s="5">
        <v>0.31707087390123057</v>
      </c>
      <c r="K252">
        <v>75</v>
      </c>
      <c r="L252">
        <v>11500000</v>
      </c>
      <c r="M252">
        <f t="shared" si="3"/>
        <v>153333.33333333334</v>
      </c>
    </row>
    <row r="253" spans="1:13" x14ac:dyDescent="0.3">
      <c r="A253">
        <v>3644</v>
      </c>
      <c r="B253" t="s">
        <v>383</v>
      </c>
      <c r="C253">
        <v>2</v>
      </c>
      <c r="D253">
        <v>2015</v>
      </c>
      <c r="E253">
        <v>1.6983790000000001</v>
      </c>
      <c r="F253">
        <v>731133.9</v>
      </c>
      <c r="G253">
        <v>21.925370000000001</v>
      </c>
      <c r="I253">
        <v>2.9312309999999999</v>
      </c>
      <c r="J253" s="5">
        <v>0.34115359724293309</v>
      </c>
      <c r="K253">
        <v>113.6</v>
      </c>
      <c r="L253">
        <v>16000000</v>
      </c>
      <c r="M253">
        <f t="shared" si="3"/>
        <v>140845.07042253521</v>
      </c>
    </row>
    <row r="254" spans="1:13" x14ac:dyDescent="0.3">
      <c r="A254">
        <v>3775</v>
      </c>
      <c r="B254" t="s">
        <v>261</v>
      </c>
      <c r="C254">
        <v>3</v>
      </c>
      <c r="D254">
        <v>2015</v>
      </c>
      <c r="E254">
        <v>3.4093979999999999</v>
      </c>
      <c r="F254">
        <v>330587.59999999998</v>
      </c>
      <c r="G254">
        <v>27.239180000000001</v>
      </c>
      <c r="I254">
        <v>2.8063150000000001</v>
      </c>
      <c r="J254" s="5">
        <v>0.35633918501664991</v>
      </c>
      <c r="K254">
        <v>237.5</v>
      </c>
      <c r="L254">
        <v>0</v>
      </c>
      <c r="M254">
        <f t="shared" si="3"/>
        <v>0</v>
      </c>
    </row>
    <row r="255" spans="1:13" x14ac:dyDescent="0.3">
      <c r="A255">
        <v>3776</v>
      </c>
      <c r="B255" t="s">
        <v>384</v>
      </c>
      <c r="C255">
        <v>5</v>
      </c>
      <c r="D255">
        <v>2015</v>
      </c>
      <c r="E255">
        <v>3.4536259999999999</v>
      </c>
      <c r="F255">
        <v>174110.1</v>
      </c>
      <c r="G255">
        <v>27.239180000000001</v>
      </c>
      <c r="I255">
        <v>4.0846980000000004</v>
      </c>
      <c r="J255" s="5">
        <v>0.24481614063022528</v>
      </c>
      <c r="K255">
        <v>100</v>
      </c>
      <c r="L255">
        <v>14500000</v>
      </c>
      <c r="M255">
        <f t="shared" si="3"/>
        <v>145000</v>
      </c>
    </row>
    <row r="256" spans="1:13" x14ac:dyDescent="0.3">
      <c r="A256">
        <v>3776</v>
      </c>
      <c r="B256" t="s">
        <v>384</v>
      </c>
      <c r="C256">
        <v>6</v>
      </c>
      <c r="D256">
        <v>2015</v>
      </c>
      <c r="E256">
        <v>3.4536259999999999</v>
      </c>
      <c r="F256">
        <v>278339.8</v>
      </c>
      <c r="G256">
        <v>27.239180000000001</v>
      </c>
      <c r="I256">
        <v>1.905659</v>
      </c>
      <c r="J256" s="5">
        <v>0.5247528545243404</v>
      </c>
      <c r="K256">
        <v>237.5</v>
      </c>
      <c r="L256">
        <v>1500000</v>
      </c>
      <c r="M256">
        <f t="shared" si="3"/>
        <v>6315.7894736842109</v>
      </c>
    </row>
    <row r="257" spans="1:13" x14ac:dyDescent="0.3">
      <c r="A257">
        <v>3797</v>
      </c>
      <c r="B257" t="s">
        <v>91</v>
      </c>
      <c r="C257">
        <v>3</v>
      </c>
      <c r="D257">
        <v>2019</v>
      </c>
      <c r="E257">
        <v>3.174477</v>
      </c>
      <c r="F257">
        <v>22815.93</v>
      </c>
      <c r="G257">
        <v>27.239180000000001</v>
      </c>
      <c r="I257">
        <v>2.848697</v>
      </c>
      <c r="J257" s="5">
        <v>0.35103768494859228</v>
      </c>
      <c r="K257">
        <v>112.5</v>
      </c>
      <c r="L257">
        <v>0</v>
      </c>
      <c r="M257">
        <f t="shared" si="3"/>
        <v>0</v>
      </c>
    </row>
    <row r="258" spans="1:13" x14ac:dyDescent="0.3">
      <c r="A258">
        <v>3797</v>
      </c>
      <c r="B258" t="s">
        <v>91</v>
      </c>
      <c r="C258">
        <v>4</v>
      </c>
      <c r="D258">
        <v>2019</v>
      </c>
      <c r="E258">
        <v>3.174477</v>
      </c>
      <c r="F258">
        <v>74957.69</v>
      </c>
      <c r="G258">
        <v>27.239180000000001</v>
      </c>
      <c r="I258">
        <v>1.541274</v>
      </c>
      <c r="J258" s="5">
        <v>0.64881390330337108</v>
      </c>
      <c r="K258">
        <v>187.5</v>
      </c>
      <c r="L258">
        <v>0</v>
      </c>
      <c r="M258">
        <f t="shared" si="3"/>
        <v>0</v>
      </c>
    </row>
    <row r="259" spans="1:13" x14ac:dyDescent="0.3">
      <c r="A259">
        <v>3803</v>
      </c>
      <c r="B259" t="s">
        <v>385</v>
      </c>
      <c r="C259">
        <v>3</v>
      </c>
      <c r="D259">
        <v>2015</v>
      </c>
      <c r="E259">
        <v>3.6125750000000001</v>
      </c>
      <c r="F259">
        <v>87958.77</v>
      </c>
      <c r="G259">
        <v>27.239180000000001</v>
      </c>
      <c r="I259">
        <v>1.815042</v>
      </c>
      <c r="J259" s="5">
        <v>0.55095143803834845</v>
      </c>
      <c r="K259">
        <v>185.2</v>
      </c>
      <c r="L259">
        <v>0</v>
      </c>
      <c r="M259">
        <f t="shared" ref="M259:M314" si="4">L259/K259</f>
        <v>0</v>
      </c>
    </row>
    <row r="260" spans="1:13" x14ac:dyDescent="0.3">
      <c r="A260">
        <v>3803</v>
      </c>
      <c r="B260" t="s">
        <v>385</v>
      </c>
      <c r="C260" t="s">
        <v>404</v>
      </c>
      <c r="D260">
        <v>2015</v>
      </c>
      <c r="E260">
        <v>3.6125750000000001</v>
      </c>
      <c r="F260">
        <v>52247.05</v>
      </c>
      <c r="G260">
        <v>27.239180000000001</v>
      </c>
      <c r="I260">
        <v>2.3536999999999999</v>
      </c>
      <c r="J260" s="5">
        <v>0.42486298168840553</v>
      </c>
      <c r="K260">
        <v>112.5</v>
      </c>
      <c r="L260">
        <v>0</v>
      </c>
      <c r="M260">
        <f t="shared" si="4"/>
        <v>0</v>
      </c>
    </row>
    <row r="261" spans="1:13" x14ac:dyDescent="0.3">
      <c r="A261">
        <v>3803</v>
      </c>
      <c r="B261" t="s">
        <v>385</v>
      </c>
      <c r="C261" t="s">
        <v>406</v>
      </c>
      <c r="D261">
        <v>2015</v>
      </c>
      <c r="E261">
        <v>3.6125750000000001</v>
      </c>
      <c r="F261">
        <v>56822.36</v>
      </c>
      <c r="G261">
        <v>27.239180000000001</v>
      </c>
      <c r="I261">
        <v>1.798602</v>
      </c>
      <c r="J261" s="5">
        <v>0.55598737241479768</v>
      </c>
      <c r="K261">
        <v>112.5</v>
      </c>
      <c r="L261">
        <v>0</v>
      </c>
      <c r="M261">
        <f t="shared" si="4"/>
        <v>0</v>
      </c>
    </row>
    <row r="262" spans="1:13" x14ac:dyDescent="0.3">
      <c r="A262">
        <v>3803</v>
      </c>
      <c r="B262" t="s">
        <v>385</v>
      </c>
      <c r="C262" t="s">
        <v>403</v>
      </c>
      <c r="D262">
        <v>2015</v>
      </c>
      <c r="E262">
        <v>3.6125750000000001</v>
      </c>
      <c r="F262">
        <v>185483.3</v>
      </c>
      <c r="G262">
        <v>27.239180000000001</v>
      </c>
      <c r="I262">
        <v>2.043126</v>
      </c>
      <c r="J262" s="5">
        <v>0.48944607429987186</v>
      </c>
      <c r="K262">
        <v>239.3</v>
      </c>
      <c r="L262">
        <v>0</v>
      </c>
      <c r="M262">
        <f t="shared" si="4"/>
        <v>0</v>
      </c>
    </row>
    <row r="263" spans="1:13" x14ac:dyDescent="0.3">
      <c r="A263">
        <v>3809</v>
      </c>
      <c r="B263" t="s">
        <v>386</v>
      </c>
      <c r="C263">
        <v>1</v>
      </c>
      <c r="D263">
        <v>2019</v>
      </c>
      <c r="E263">
        <v>3.471355</v>
      </c>
      <c r="F263">
        <v>58211.64</v>
      </c>
      <c r="G263">
        <v>27.239180000000001</v>
      </c>
      <c r="I263">
        <v>2.0934979999999999</v>
      </c>
      <c r="J263" s="5">
        <v>0.47766943173578386</v>
      </c>
      <c r="K263">
        <v>187.5</v>
      </c>
      <c r="L263">
        <v>0</v>
      </c>
      <c r="M263">
        <f t="shared" si="4"/>
        <v>0</v>
      </c>
    </row>
    <row r="264" spans="1:13" x14ac:dyDescent="0.3">
      <c r="A264">
        <v>3809</v>
      </c>
      <c r="B264" t="s">
        <v>386</v>
      </c>
      <c r="C264">
        <v>2</v>
      </c>
      <c r="D264">
        <v>2019</v>
      </c>
      <c r="E264">
        <v>3.471355</v>
      </c>
      <c r="F264">
        <v>63845.16</v>
      </c>
      <c r="G264">
        <v>27.239180000000001</v>
      </c>
      <c r="I264">
        <v>1.874323</v>
      </c>
      <c r="J264" s="5">
        <v>0.53352597177754313</v>
      </c>
      <c r="K264">
        <v>187.5</v>
      </c>
      <c r="L264">
        <v>0</v>
      </c>
      <c r="M264">
        <f t="shared" si="4"/>
        <v>0</v>
      </c>
    </row>
    <row r="265" spans="1:13" x14ac:dyDescent="0.3">
      <c r="A265">
        <v>3992</v>
      </c>
      <c r="B265" t="s">
        <v>387</v>
      </c>
      <c r="C265">
        <v>3</v>
      </c>
      <c r="D265">
        <v>2011</v>
      </c>
      <c r="E265">
        <v>4.3167879999999998</v>
      </c>
      <c r="F265">
        <v>3519.942</v>
      </c>
      <c r="G265">
        <v>39.658639999999998</v>
      </c>
      <c r="I265">
        <v>4.8807470000000004</v>
      </c>
      <c r="J265" s="5">
        <v>0.20488667001178301</v>
      </c>
      <c r="K265">
        <v>34.5</v>
      </c>
      <c r="L265">
        <v>500000</v>
      </c>
      <c r="M265">
        <f t="shared" si="4"/>
        <v>14492.753623188406</v>
      </c>
    </row>
    <row r="266" spans="1:13" x14ac:dyDescent="0.3">
      <c r="A266">
        <v>4050</v>
      </c>
      <c r="B266" t="s">
        <v>98</v>
      </c>
      <c r="C266">
        <v>3</v>
      </c>
      <c r="D266">
        <v>2015</v>
      </c>
      <c r="E266">
        <v>2.2647240000000002</v>
      </c>
      <c r="F266">
        <v>145182.1</v>
      </c>
      <c r="G266">
        <v>39.658639999999998</v>
      </c>
      <c r="I266">
        <v>2.6692689999999999</v>
      </c>
      <c r="J266" s="5">
        <v>0.37463440365133677</v>
      </c>
      <c r="K266">
        <v>69</v>
      </c>
      <c r="L266">
        <v>500000</v>
      </c>
      <c r="M266">
        <f t="shared" si="4"/>
        <v>7246.376811594203</v>
      </c>
    </row>
    <row r="267" spans="1:13" x14ac:dyDescent="0.3">
      <c r="A267">
        <v>4050</v>
      </c>
      <c r="B267" t="s">
        <v>98</v>
      </c>
      <c r="C267">
        <v>4</v>
      </c>
      <c r="D267">
        <v>2018</v>
      </c>
      <c r="E267">
        <v>2.2647240000000002</v>
      </c>
      <c r="F267">
        <v>345219.9</v>
      </c>
      <c r="G267">
        <v>39.658639999999998</v>
      </c>
      <c r="I267">
        <v>1.667886</v>
      </c>
      <c r="J267" s="5">
        <v>0.59956136090835943</v>
      </c>
      <c r="K267">
        <v>351</v>
      </c>
      <c r="L267">
        <v>0</v>
      </c>
      <c r="M267">
        <f t="shared" si="4"/>
        <v>0</v>
      </c>
    </row>
    <row r="268" spans="1:13" x14ac:dyDescent="0.3">
      <c r="A268">
        <v>4054</v>
      </c>
      <c r="B268" t="s">
        <v>388</v>
      </c>
      <c r="C268">
        <v>1</v>
      </c>
      <c r="D268">
        <v>2015</v>
      </c>
      <c r="E268">
        <v>2.2958609999999999</v>
      </c>
      <c r="F268">
        <v>52648.59</v>
      </c>
      <c r="G268">
        <v>39.658639999999998</v>
      </c>
      <c r="I268">
        <v>1.3242309999999999</v>
      </c>
      <c r="J268" s="5">
        <v>0.7551552561448871</v>
      </c>
      <c r="K268">
        <v>113.6</v>
      </c>
      <c r="L268">
        <v>0</v>
      </c>
      <c r="M268">
        <f t="shared" si="4"/>
        <v>0</v>
      </c>
    </row>
    <row r="269" spans="1:13" x14ac:dyDescent="0.3">
      <c r="A269">
        <v>4054</v>
      </c>
      <c r="B269" t="s">
        <v>388</v>
      </c>
      <c r="C269">
        <v>2</v>
      </c>
      <c r="D269">
        <v>2015</v>
      </c>
      <c r="E269">
        <v>2.2958609999999999</v>
      </c>
      <c r="F269">
        <v>51241.97</v>
      </c>
      <c r="G269">
        <v>39.658639999999998</v>
      </c>
      <c r="I269">
        <v>1.32311</v>
      </c>
      <c r="J269" s="5">
        <v>0.75579505861190677</v>
      </c>
      <c r="K269">
        <v>113.6</v>
      </c>
      <c r="L269">
        <v>0</v>
      </c>
      <c r="M269">
        <f t="shared" si="4"/>
        <v>0</v>
      </c>
    </row>
    <row r="270" spans="1:13" x14ac:dyDescent="0.3">
      <c r="A270">
        <v>4072</v>
      </c>
      <c r="B270" t="s">
        <v>389</v>
      </c>
      <c r="C270">
        <v>5</v>
      </c>
      <c r="D270">
        <v>2015</v>
      </c>
      <c r="E270">
        <v>2.6647959999999999</v>
      </c>
      <c r="F270">
        <v>82970.31</v>
      </c>
      <c r="G270">
        <v>39.658639999999998</v>
      </c>
      <c r="I270">
        <v>3.7521249999999999</v>
      </c>
      <c r="J270" s="5">
        <v>0.26651564113668924</v>
      </c>
      <c r="K270">
        <v>50</v>
      </c>
      <c r="L270">
        <v>0</v>
      </c>
      <c r="M270">
        <f t="shared" si="4"/>
        <v>0</v>
      </c>
    </row>
    <row r="271" spans="1:13" x14ac:dyDescent="0.3">
      <c r="A271">
        <v>4072</v>
      </c>
      <c r="B271" t="s">
        <v>389</v>
      </c>
      <c r="C271">
        <v>6</v>
      </c>
      <c r="D271">
        <v>2015</v>
      </c>
      <c r="E271">
        <v>2.6647959999999999</v>
      </c>
      <c r="F271">
        <v>158031.4</v>
      </c>
      <c r="G271">
        <v>39.658639999999998</v>
      </c>
      <c r="I271">
        <v>3.569118</v>
      </c>
      <c r="J271" s="5">
        <v>0.28018126607189786</v>
      </c>
      <c r="K271">
        <v>69</v>
      </c>
      <c r="L271">
        <v>0</v>
      </c>
      <c r="M271">
        <f t="shared" si="4"/>
        <v>0</v>
      </c>
    </row>
    <row r="272" spans="1:13" x14ac:dyDescent="0.3">
      <c r="A272">
        <v>4072</v>
      </c>
      <c r="B272" t="s">
        <v>389</v>
      </c>
      <c r="C272">
        <v>7</v>
      </c>
      <c r="D272">
        <v>2018</v>
      </c>
      <c r="E272">
        <v>2.6647959999999999</v>
      </c>
      <c r="F272">
        <v>206157.1</v>
      </c>
      <c r="G272">
        <v>39.658639999999998</v>
      </c>
      <c r="I272">
        <v>3.2048390000000002</v>
      </c>
      <c r="J272" s="5">
        <v>0.31202815492447511</v>
      </c>
      <c r="K272">
        <v>81.599999999999994</v>
      </c>
      <c r="L272">
        <v>0</v>
      </c>
      <c r="M272">
        <f t="shared" si="4"/>
        <v>0</v>
      </c>
    </row>
    <row r="273" spans="1:13" x14ac:dyDescent="0.3">
      <c r="A273">
        <v>4072</v>
      </c>
      <c r="B273" t="s">
        <v>389</v>
      </c>
      <c r="C273">
        <v>8</v>
      </c>
      <c r="D273">
        <v>2018</v>
      </c>
      <c r="E273">
        <v>2.6647959999999999</v>
      </c>
      <c r="F273">
        <v>474639.6</v>
      </c>
      <c r="G273">
        <v>39.658639999999998</v>
      </c>
      <c r="I273">
        <v>3.0465200000000001</v>
      </c>
      <c r="J273" s="5">
        <v>0.32824337276630383</v>
      </c>
      <c r="K273">
        <v>149.6</v>
      </c>
      <c r="L273">
        <v>0</v>
      </c>
      <c r="M273">
        <f t="shared" si="4"/>
        <v>0</v>
      </c>
    </row>
    <row r="274" spans="1:13" x14ac:dyDescent="0.3">
      <c r="A274">
        <v>4078</v>
      </c>
      <c r="B274" t="s">
        <v>99</v>
      </c>
      <c r="C274">
        <v>1</v>
      </c>
      <c r="D274">
        <v>2015</v>
      </c>
      <c r="E274">
        <v>2.4364189999999999</v>
      </c>
      <c r="F274">
        <v>173472.5</v>
      </c>
      <c r="G274">
        <v>39.658639999999998</v>
      </c>
      <c r="I274">
        <v>2.2578830000000001</v>
      </c>
      <c r="J274" s="5">
        <v>0.4428927451068102</v>
      </c>
      <c r="K274">
        <v>60</v>
      </c>
      <c r="L274">
        <v>0</v>
      </c>
      <c r="M274">
        <f t="shared" si="4"/>
        <v>0</v>
      </c>
    </row>
    <row r="275" spans="1:13" x14ac:dyDescent="0.3">
      <c r="A275">
        <v>4140</v>
      </c>
      <c r="B275" t="s">
        <v>390</v>
      </c>
      <c r="C275">
        <v>1</v>
      </c>
      <c r="D275">
        <v>2012</v>
      </c>
      <c r="E275">
        <v>3.6566130000000001</v>
      </c>
      <c r="F275">
        <v>34722.959999999999</v>
      </c>
      <c r="G275">
        <v>39.658639999999998</v>
      </c>
      <c r="I275">
        <v>3.603084</v>
      </c>
      <c r="J275" s="5">
        <v>0.27754001849526683</v>
      </c>
      <c r="K275">
        <v>15</v>
      </c>
      <c r="L275">
        <v>2500000</v>
      </c>
      <c r="M275">
        <f t="shared" si="4"/>
        <v>166666.66666666666</v>
      </c>
    </row>
    <row r="276" spans="1:13" x14ac:dyDescent="0.3">
      <c r="A276">
        <v>4140</v>
      </c>
      <c r="B276" t="s">
        <v>390</v>
      </c>
      <c r="C276">
        <v>2</v>
      </c>
      <c r="D276">
        <v>2012</v>
      </c>
      <c r="E276">
        <v>3.6566130000000001</v>
      </c>
      <c r="F276">
        <v>33175.949999999997</v>
      </c>
      <c r="G276">
        <v>39.658639999999998</v>
      </c>
      <c r="I276">
        <v>4.5356040000000002</v>
      </c>
      <c r="J276" s="5">
        <v>0.22047780185395374</v>
      </c>
      <c r="K276">
        <v>15</v>
      </c>
      <c r="L276">
        <v>2500000</v>
      </c>
      <c r="M276">
        <f t="shared" si="4"/>
        <v>166666.66666666666</v>
      </c>
    </row>
    <row r="277" spans="1:13" x14ac:dyDescent="0.3">
      <c r="A277">
        <v>4140</v>
      </c>
      <c r="B277" t="s">
        <v>390</v>
      </c>
      <c r="C277">
        <v>3</v>
      </c>
      <c r="D277">
        <v>2012</v>
      </c>
      <c r="E277">
        <v>3.6566130000000001</v>
      </c>
      <c r="F277">
        <v>15871.36</v>
      </c>
      <c r="G277">
        <v>39.658639999999998</v>
      </c>
      <c r="I277">
        <v>4.2312890000000003</v>
      </c>
      <c r="J277" s="5">
        <v>0.2363346015835836</v>
      </c>
      <c r="K277">
        <v>15</v>
      </c>
      <c r="L277">
        <v>0</v>
      </c>
      <c r="M277">
        <f t="shared" si="4"/>
        <v>0</v>
      </c>
    </row>
    <row r="278" spans="1:13" x14ac:dyDescent="0.3">
      <c r="A278">
        <v>4140</v>
      </c>
      <c r="B278" t="s">
        <v>390</v>
      </c>
      <c r="C278">
        <v>4</v>
      </c>
      <c r="D278">
        <v>2014</v>
      </c>
      <c r="E278">
        <v>3.6566130000000001</v>
      </c>
      <c r="F278">
        <v>73244.34</v>
      </c>
      <c r="G278">
        <v>39.658639999999998</v>
      </c>
      <c r="I278">
        <v>3.3604910000000001</v>
      </c>
      <c r="J278" s="5">
        <v>0.29757556261867685</v>
      </c>
      <c r="K278">
        <v>54.4</v>
      </c>
      <c r="L278">
        <v>1500000</v>
      </c>
      <c r="M278">
        <f t="shared" si="4"/>
        <v>27573.529411764706</v>
      </c>
    </row>
    <row r="279" spans="1:13" x14ac:dyDescent="0.3">
      <c r="A279">
        <v>4140</v>
      </c>
      <c r="B279" t="s">
        <v>390</v>
      </c>
      <c r="C279">
        <v>5</v>
      </c>
      <c r="D279">
        <v>2014</v>
      </c>
      <c r="E279">
        <v>3.6566130000000001</v>
      </c>
      <c r="F279">
        <v>101638.39999999999</v>
      </c>
      <c r="G279">
        <v>39.658639999999998</v>
      </c>
      <c r="I279">
        <v>3.2221500000000001</v>
      </c>
      <c r="J279" s="5">
        <v>0.31035178374687705</v>
      </c>
      <c r="K279">
        <v>81.599999999999994</v>
      </c>
      <c r="L279">
        <v>0</v>
      </c>
      <c r="M279">
        <f t="shared" si="4"/>
        <v>0</v>
      </c>
    </row>
    <row r="280" spans="1:13" x14ac:dyDescent="0.3">
      <c r="A280">
        <v>4941</v>
      </c>
      <c r="B280" t="s">
        <v>391</v>
      </c>
      <c r="C280" t="s">
        <v>407</v>
      </c>
      <c r="D280">
        <v>2019</v>
      </c>
      <c r="E280">
        <v>2.436083</v>
      </c>
      <c r="F280">
        <v>48956.36</v>
      </c>
      <c r="G280">
        <v>28.018889999999999</v>
      </c>
      <c r="I280">
        <v>1.0133000000000001</v>
      </c>
      <c r="J280" s="5">
        <v>0.98687456824237629</v>
      </c>
      <c r="K280">
        <v>803.1</v>
      </c>
      <c r="L280">
        <v>0</v>
      </c>
      <c r="M280">
        <f t="shared" si="4"/>
        <v>0</v>
      </c>
    </row>
    <row r="281" spans="1:13" x14ac:dyDescent="0.3">
      <c r="A281">
        <v>4941</v>
      </c>
      <c r="B281" t="s">
        <v>391</v>
      </c>
      <c r="C281" t="s">
        <v>408</v>
      </c>
      <c r="D281">
        <v>2019</v>
      </c>
      <c r="E281">
        <v>2.436083</v>
      </c>
      <c r="F281">
        <v>48522.14</v>
      </c>
      <c r="G281">
        <v>28.018889999999999</v>
      </c>
      <c r="I281">
        <v>0.93478890000000003</v>
      </c>
      <c r="J281" s="5">
        <v>1.0697602421252541</v>
      </c>
      <c r="K281">
        <v>803.1</v>
      </c>
      <c r="L281">
        <v>0</v>
      </c>
      <c r="M281">
        <f t="shared" si="4"/>
        <v>0</v>
      </c>
    </row>
    <row r="282" spans="1:13" x14ac:dyDescent="0.3">
      <c r="A282">
        <v>4941</v>
      </c>
      <c r="B282" t="s">
        <v>391</v>
      </c>
      <c r="C282" t="s">
        <v>409</v>
      </c>
      <c r="D282">
        <v>2019</v>
      </c>
      <c r="E282">
        <v>2.436083</v>
      </c>
      <c r="F282">
        <v>50137.85</v>
      </c>
      <c r="G282">
        <v>28.018889999999999</v>
      </c>
      <c r="I282">
        <v>0.88754049999999995</v>
      </c>
      <c r="J282" s="5">
        <v>1.1267091473572193</v>
      </c>
      <c r="K282">
        <v>803.1</v>
      </c>
      <c r="L282">
        <v>0</v>
      </c>
      <c r="M282">
        <f t="shared" si="4"/>
        <v>0</v>
      </c>
    </row>
    <row r="283" spans="1:13" x14ac:dyDescent="0.3">
      <c r="A283">
        <v>6017</v>
      </c>
      <c r="B283" t="s">
        <v>106</v>
      </c>
      <c r="C283">
        <v>2</v>
      </c>
      <c r="D283">
        <v>2016</v>
      </c>
      <c r="E283">
        <v>1.958637</v>
      </c>
      <c r="F283">
        <v>1688530</v>
      </c>
      <c r="G283">
        <v>26.63785</v>
      </c>
      <c r="I283">
        <v>1.9708639999999999</v>
      </c>
      <c r="J283" s="5">
        <v>0.50739168202372154</v>
      </c>
      <c r="K283">
        <v>617.4</v>
      </c>
      <c r="L283">
        <v>0</v>
      </c>
      <c r="M283">
        <f t="shared" si="4"/>
        <v>0</v>
      </c>
    </row>
    <row r="284" spans="1:13" x14ac:dyDescent="0.3">
      <c r="A284">
        <v>6061</v>
      </c>
      <c r="B284" t="s">
        <v>392</v>
      </c>
      <c r="C284">
        <v>1</v>
      </c>
      <c r="D284">
        <v>2018</v>
      </c>
      <c r="E284">
        <v>3.8140969999999998</v>
      </c>
      <c r="F284">
        <v>624511.1</v>
      </c>
      <c r="G284">
        <v>30.230799999999999</v>
      </c>
      <c r="I284">
        <v>2.9587850000000002</v>
      </c>
      <c r="J284" s="5">
        <v>0.33797656808453469</v>
      </c>
      <c r="K284">
        <v>200</v>
      </c>
      <c r="L284">
        <v>25500000</v>
      </c>
      <c r="M284">
        <f t="shared" si="4"/>
        <v>127500</v>
      </c>
    </row>
    <row r="285" spans="1:13" x14ac:dyDescent="0.3">
      <c r="A285">
        <v>6061</v>
      </c>
      <c r="B285" t="s">
        <v>392</v>
      </c>
      <c r="C285">
        <v>2</v>
      </c>
      <c r="D285">
        <v>2018</v>
      </c>
      <c r="E285">
        <v>3.8140969999999998</v>
      </c>
      <c r="F285">
        <v>732226.6</v>
      </c>
      <c r="G285">
        <v>30.230799999999999</v>
      </c>
      <c r="I285">
        <v>2.9188740000000002</v>
      </c>
      <c r="J285" s="5">
        <v>0.34259786479306742</v>
      </c>
      <c r="K285">
        <v>200</v>
      </c>
      <c r="L285">
        <v>28000000</v>
      </c>
      <c r="M285">
        <f t="shared" si="4"/>
        <v>140000</v>
      </c>
    </row>
    <row r="286" spans="1:13" x14ac:dyDescent="0.3">
      <c r="A286">
        <v>6124</v>
      </c>
      <c r="B286" t="s">
        <v>393</v>
      </c>
      <c r="C286">
        <v>1</v>
      </c>
      <c r="D286">
        <v>2019</v>
      </c>
      <c r="E286">
        <v>4.1453090000000001</v>
      </c>
      <c r="F286">
        <v>208945.7</v>
      </c>
      <c r="G286">
        <v>26.69661</v>
      </c>
      <c r="I286">
        <v>2.9450720000000001</v>
      </c>
      <c r="J286" s="5">
        <v>0.33955027245513858</v>
      </c>
      <c r="K286">
        <v>177.6</v>
      </c>
      <c r="L286">
        <v>6500000</v>
      </c>
      <c r="M286">
        <f t="shared" si="4"/>
        <v>36599.099099099098</v>
      </c>
    </row>
    <row r="287" spans="1:13" x14ac:dyDescent="0.3">
      <c r="A287">
        <v>6139</v>
      </c>
      <c r="B287" t="s">
        <v>129</v>
      </c>
      <c r="C287">
        <v>2</v>
      </c>
      <c r="D287">
        <v>2016</v>
      </c>
      <c r="E287">
        <v>2.0181520000000002</v>
      </c>
      <c r="F287">
        <v>2770321</v>
      </c>
      <c r="G287">
        <v>25.530670000000001</v>
      </c>
      <c r="I287">
        <v>2.8583470000000002</v>
      </c>
      <c r="J287" s="5">
        <v>0.34985255464084658</v>
      </c>
      <c r="K287">
        <v>558</v>
      </c>
      <c r="L287">
        <v>79000000</v>
      </c>
      <c r="M287">
        <f t="shared" si="4"/>
        <v>141577.06093189964</v>
      </c>
    </row>
    <row r="288" spans="1:13" x14ac:dyDescent="0.3">
      <c r="A288">
        <v>6147</v>
      </c>
      <c r="B288" t="s">
        <v>394</v>
      </c>
      <c r="C288">
        <v>1</v>
      </c>
      <c r="D288">
        <v>2018</v>
      </c>
      <c r="E288">
        <v>2.0576340000000002</v>
      </c>
      <c r="F288">
        <v>380776.5</v>
      </c>
      <c r="G288">
        <v>25.530670000000001</v>
      </c>
      <c r="I288">
        <v>1.856069</v>
      </c>
      <c r="J288" s="5">
        <v>0.53877307363034455</v>
      </c>
      <c r="K288">
        <v>593.4</v>
      </c>
      <c r="L288">
        <v>0</v>
      </c>
      <c r="M288">
        <f t="shared" si="4"/>
        <v>0</v>
      </c>
    </row>
    <row r="289" spans="1:13" x14ac:dyDescent="0.3">
      <c r="A289">
        <v>6147</v>
      </c>
      <c r="B289" t="s">
        <v>394</v>
      </c>
      <c r="C289">
        <v>2</v>
      </c>
      <c r="D289">
        <v>2018</v>
      </c>
      <c r="E289">
        <v>2.0576340000000002</v>
      </c>
      <c r="F289">
        <v>367035.1</v>
      </c>
      <c r="G289">
        <v>25.530670000000001</v>
      </c>
      <c r="I289">
        <v>1.9533659999999999</v>
      </c>
      <c r="J289" s="5">
        <v>0.51193683109053811</v>
      </c>
      <c r="K289">
        <v>593.4</v>
      </c>
      <c r="L289">
        <v>0</v>
      </c>
      <c r="M289">
        <f t="shared" si="4"/>
        <v>0</v>
      </c>
    </row>
    <row r="290" spans="1:13" x14ac:dyDescent="0.3">
      <c r="A290">
        <v>6147</v>
      </c>
      <c r="B290" t="s">
        <v>394</v>
      </c>
      <c r="C290">
        <v>3</v>
      </c>
      <c r="D290">
        <v>2018</v>
      </c>
      <c r="E290">
        <v>2.0576340000000002</v>
      </c>
      <c r="F290">
        <v>511547.1</v>
      </c>
      <c r="G290">
        <v>25.530670000000001</v>
      </c>
      <c r="I290">
        <v>1.677114</v>
      </c>
      <c r="J290" s="5">
        <v>0.59626238884178417</v>
      </c>
      <c r="K290">
        <v>793.2</v>
      </c>
      <c r="L290">
        <v>0</v>
      </c>
      <c r="M290">
        <f t="shared" si="4"/>
        <v>0</v>
      </c>
    </row>
    <row r="291" spans="1:13" x14ac:dyDescent="0.3">
      <c r="A291">
        <v>6170</v>
      </c>
      <c r="B291" t="s">
        <v>395</v>
      </c>
      <c r="C291">
        <v>1</v>
      </c>
      <c r="D291">
        <v>2018</v>
      </c>
      <c r="E291">
        <v>1.9792110000000001</v>
      </c>
      <c r="F291">
        <v>382289.4</v>
      </c>
      <c r="G291">
        <v>39.658639999999998</v>
      </c>
      <c r="I291">
        <v>1.262958</v>
      </c>
      <c r="J291" s="5">
        <v>0.79179196774556238</v>
      </c>
      <c r="K291">
        <v>616.6</v>
      </c>
      <c r="L291">
        <v>0</v>
      </c>
      <c r="M291">
        <f t="shared" si="4"/>
        <v>0</v>
      </c>
    </row>
    <row r="292" spans="1:13" x14ac:dyDescent="0.3">
      <c r="A292">
        <v>6170</v>
      </c>
      <c r="B292" t="s">
        <v>395</v>
      </c>
      <c r="C292">
        <v>2</v>
      </c>
      <c r="D292">
        <v>2018</v>
      </c>
      <c r="E292">
        <v>1.9792110000000001</v>
      </c>
      <c r="F292">
        <v>384860.4</v>
      </c>
      <c r="G292">
        <v>39.658639999999998</v>
      </c>
      <c r="I292">
        <v>1.3210249999999999</v>
      </c>
      <c r="J292" s="5">
        <v>0.75698794496697641</v>
      </c>
      <c r="K292">
        <v>616.6</v>
      </c>
      <c r="L292">
        <v>0</v>
      </c>
      <c r="M292">
        <f t="shared" si="4"/>
        <v>0</v>
      </c>
    </row>
    <row r="293" spans="1:13" x14ac:dyDescent="0.3">
      <c r="A293">
        <v>6648</v>
      </c>
      <c r="B293" t="s">
        <v>396</v>
      </c>
      <c r="C293">
        <v>4</v>
      </c>
      <c r="D293">
        <v>2018</v>
      </c>
      <c r="E293">
        <v>2.0576340000000002</v>
      </c>
      <c r="F293">
        <v>437300.5</v>
      </c>
      <c r="G293">
        <v>25.530670000000001</v>
      </c>
      <c r="I293">
        <v>1.070225</v>
      </c>
      <c r="J293" s="5">
        <v>0.93438295685486694</v>
      </c>
      <c r="K293">
        <v>590.6</v>
      </c>
      <c r="L293">
        <v>0</v>
      </c>
      <c r="M293">
        <f t="shared" si="4"/>
        <v>0</v>
      </c>
    </row>
    <row r="294" spans="1:13" x14ac:dyDescent="0.3">
      <c r="A294">
        <v>7286</v>
      </c>
      <c r="B294" t="s">
        <v>397</v>
      </c>
      <c r="C294">
        <v>1</v>
      </c>
      <c r="D294">
        <v>2010</v>
      </c>
      <c r="E294">
        <v>2.87059</v>
      </c>
      <c r="F294">
        <v>382385.4</v>
      </c>
      <c r="G294">
        <v>30.72579</v>
      </c>
      <c r="I294">
        <v>5.6149430000000002</v>
      </c>
      <c r="J294" s="5">
        <v>0.17809619794893733</v>
      </c>
      <c r="K294">
        <v>50</v>
      </c>
      <c r="L294">
        <v>35000000</v>
      </c>
      <c r="M294">
        <f t="shared" si="4"/>
        <v>700000</v>
      </c>
    </row>
    <row r="295" spans="1:13" x14ac:dyDescent="0.3">
      <c r="A295">
        <v>7286</v>
      </c>
      <c r="B295" t="s">
        <v>397</v>
      </c>
      <c r="C295">
        <v>2</v>
      </c>
      <c r="D295">
        <v>2010</v>
      </c>
      <c r="E295">
        <v>2.87059</v>
      </c>
      <c r="F295">
        <v>379192.3</v>
      </c>
      <c r="G295">
        <v>30.72579</v>
      </c>
      <c r="I295">
        <v>4.6559400000000002</v>
      </c>
      <c r="J295" s="5">
        <v>0.21477940007817969</v>
      </c>
      <c r="K295">
        <v>50</v>
      </c>
      <c r="L295">
        <v>31500000</v>
      </c>
      <c r="M295">
        <f t="shared" si="4"/>
        <v>630000</v>
      </c>
    </row>
    <row r="296" spans="1:13" x14ac:dyDescent="0.3">
      <c r="A296">
        <v>7286</v>
      </c>
      <c r="B296" t="s">
        <v>397</v>
      </c>
      <c r="C296">
        <v>3</v>
      </c>
      <c r="D296">
        <v>2010</v>
      </c>
      <c r="E296">
        <v>2.87059</v>
      </c>
      <c r="F296">
        <v>340359.4</v>
      </c>
      <c r="G296">
        <v>30.72579</v>
      </c>
      <c r="I296">
        <v>4.1163020000000001</v>
      </c>
      <c r="J296" s="5">
        <v>0.24293649980006327</v>
      </c>
      <c r="K296">
        <v>50</v>
      </c>
      <c r="L296">
        <v>27000000</v>
      </c>
      <c r="M296">
        <f t="shared" si="4"/>
        <v>540000</v>
      </c>
    </row>
    <row r="297" spans="1:13" x14ac:dyDescent="0.3">
      <c r="A297">
        <v>7286</v>
      </c>
      <c r="B297" t="s">
        <v>397</v>
      </c>
      <c r="C297">
        <v>4</v>
      </c>
      <c r="D297">
        <v>2010</v>
      </c>
      <c r="E297">
        <v>2.87059</v>
      </c>
      <c r="F297">
        <v>382680.6</v>
      </c>
      <c r="G297">
        <v>30.72579</v>
      </c>
      <c r="I297">
        <v>5.758222</v>
      </c>
      <c r="J297" s="5">
        <v>0.17366471803275385</v>
      </c>
      <c r="K297">
        <v>50</v>
      </c>
      <c r="L297">
        <v>34000000</v>
      </c>
      <c r="M297">
        <f t="shared" si="4"/>
        <v>680000</v>
      </c>
    </row>
    <row r="298" spans="1:13" x14ac:dyDescent="0.3">
      <c r="A298">
        <v>10075</v>
      </c>
      <c r="B298" t="s">
        <v>398</v>
      </c>
      <c r="C298" t="s">
        <v>410</v>
      </c>
      <c r="D298">
        <v>2015</v>
      </c>
      <c r="E298">
        <v>2.0904910000000001</v>
      </c>
      <c r="F298">
        <v>408355.3</v>
      </c>
      <c r="G298">
        <v>29.532340000000001</v>
      </c>
      <c r="I298">
        <v>3.1831969999999998</v>
      </c>
      <c r="J298" s="5">
        <v>0.31414957980922953</v>
      </c>
      <c r="K298">
        <v>84</v>
      </c>
      <c r="L298">
        <v>4500000</v>
      </c>
      <c r="M298">
        <f t="shared" si="4"/>
        <v>53571.428571428572</v>
      </c>
    </row>
    <row r="299" spans="1:13" x14ac:dyDescent="0.3">
      <c r="A299">
        <v>10360</v>
      </c>
      <c r="B299" t="s">
        <v>399</v>
      </c>
      <c r="C299" t="s">
        <v>411</v>
      </c>
      <c r="D299">
        <v>2014</v>
      </c>
      <c r="E299">
        <v>2.270257</v>
      </c>
      <c r="F299">
        <v>13179.34</v>
      </c>
      <c r="G299">
        <v>39.658639999999998</v>
      </c>
      <c r="I299">
        <v>1.3813770000000001</v>
      </c>
      <c r="J299" s="5">
        <v>0.72391533954887044</v>
      </c>
      <c r="K299">
        <v>28.2</v>
      </c>
      <c r="L299">
        <v>0</v>
      </c>
      <c r="M299">
        <f t="shared" si="4"/>
        <v>0</v>
      </c>
    </row>
    <row r="300" spans="1:13" x14ac:dyDescent="0.3">
      <c r="A300">
        <v>10360</v>
      </c>
      <c r="B300" t="s">
        <v>399</v>
      </c>
      <c r="C300" t="s">
        <v>412</v>
      </c>
      <c r="D300">
        <v>2014</v>
      </c>
      <c r="E300">
        <v>2.270257</v>
      </c>
      <c r="F300">
        <v>12214.35</v>
      </c>
      <c r="G300">
        <v>39.658639999999998</v>
      </c>
      <c r="I300">
        <v>11.286619999999999</v>
      </c>
      <c r="J300" s="5">
        <v>8.8600484467449073E-2</v>
      </c>
      <c r="K300">
        <v>10</v>
      </c>
      <c r="L300">
        <v>1000000</v>
      </c>
      <c r="M300">
        <f t="shared" si="4"/>
        <v>100000</v>
      </c>
    </row>
    <row r="301" spans="1:13" x14ac:dyDescent="0.3">
      <c r="A301">
        <v>10860</v>
      </c>
      <c r="B301" t="s">
        <v>188</v>
      </c>
      <c r="C301" t="s">
        <v>413</v>
      </c>
      <c r="D301">
        <v>2008</v>
      </c>
      <c r="E301">
        <v>1.666145</v>
      </c>
      <c r="F301">
        <v>247581.4</v>
      </c>
      <c r="G301">
        <v>22.522449999999999</v>
      </c>
      <c r="I301">
        <v>27.784559999999999</v>
      </c>
      <c r="J301" s="5">
        <v>3.5991212385583934E-2</v>
      </c>
      <c r="K301">
        <v>7.5</v>
      </c>
      <c r="L301">
        <v>27500000</v>
      </c>
      <c r="M301">
        <f t="shared" si="4"/>
        <v>3666666.6666666665</v>
      </c>
    </row>
    <row r="302" spans="1:13" x14ac:dyDescent="0.3">
      <c r="A302">
        <v>10860</v>
      </c>
      <c r="B302" t="s">
        <v>188</v>
      </c>
      <c r="C302" t="s">
        <v>414</v>
      </c>
      <c r="D302">
        <v>2008</v>
      </c>
      <c r="E302">
        <v>1.666145</v>
      </c>
      <c r="F302">
        <v>223075.6</v>
      </c>
      <c r="G302">
        <v>22.522449999999999</v>
      </c>
      <c r="I302">
        <v>34.207949999999997</v>
      </c>
      <c r="J302" s="5">
        <v>2.9232970698331823E-2</v>
      </c>
      <c r="K302">
        <v>3.5</v>
      </c>
      <c r="L302">
        <v>25500000</v>
      </c>
      <c r="M302">
        <f t="shared" si="4"/>
        <v>7285714.2857142854</v>
      </c>
    </row>
    <row r="303" spans="1:13" x14ac:dyDescent="0.3">
      <c r="A303">
        <v>10860</v>
      </c>
      <c r="B303" t="s">
        <v>188</v>
      </c>
      <c r="C303" t="s">
        <v>410</v>
      </c>
      <c r="D303">
        <v>2008</v>
      </c>
      <c r="E303">
        <v>1.666145</v>
      </c>
      <c r="F303">
        <v>221339.8</v>
      </c>
      <c r="G303">
        <v>22.522449999999999</v>
      </c>
      <c r="I303">
        <v>18.33719</v>
      </c>
      <c r="J303" s="5">
        <v>5.4533982578573927E-2</v>
      </c>
      <c r="K303">
        <v>9.4</v>
      </c>
      <c r="L303">
        <v>24000000</v>
      </c>
      <c r="M303">
        <f t="shared" si="4"/>
        <v>2553191.489361702</v>
      </c>
    </row>
    <row r="304" spans="1:13" x14ac:dyDescent="0.3">
      <c r="A304">
        <v>10860</v>
      </c>
      <c r="B304" t="s">
        <v>188</v>
      </c>
      <c r="C304" t="s">
        <v>415</v>
      </c>
      <c r="D304">
        <v>2008</v>
      </c>
      <c r="E304">
        <v>1.666145</v>
      </c>
      <c r="F304">
        <v>252850.4</v>
      </c>
      <c r="G304">
        <v>22.522449999999999</v>
      </c>
      <c r="I304">
        <v>38.136519999999997</v>
      </c>
      <c r="J304" s="5">
        <v>2.6221584979437034E-2</v>
      </c>
      <c r="K304">
        <v>4</v>
      </c>
      <c r="L304">
        <v>29000000</v>
      </c>
      <c r="M304">
        <f t="shared" si="4"/>
        <v>7250000</v>
      </c>
    </row>
    <row r="305" spans="1:13" x14ac:dyDescent="0.3">
      <c r="A305">
        <v>10860</v>
      </c>
      <c r="B305" t="s">
        <v>188</v>
      </c>
      <c r="C305" t="s">
        <v>412</v>
      </c>
      <c r="D305">
        <v>2008</v>
      </c>
      <c r="E305">
        <v>1.666145</v>
      </c>
      <c r="F305">
        <v>252850.4</v>
      </c>
      <c r="G305">
        <v>22.522449999999999</v>
      </c>
      <c r="I305">
        <v>21.94115</v>
      </c>
      <c r="J305" s="5">
        <v>4.5576462491710781E-2</v>
      </c>
      <c r="K305">
        <v>7</v>
      </c>
      <c r="L305">
        <v>28000000</v>
      </c>
      <c r="M305">
        <f t="shared" si="4"/>
        <v>4000000</v>
      </c>
    </row>
    <row r="306" spans="1:13" x14ac:dyDescent="0.3">
      <c r="A306">
        <v>50900</v>
      </c>
      <c r="B306" t="s">
        <v>200</v>
      </c>
      <c r="C306" t="s">
        <v>413</v>
      </c>
      <c r="D306">
        <v>2013</v>
      </c>
      <c r="E306">
        <v>3.51119</v>
      </c>
      <c r="F306">
        <v>96590</v>
      </c>
      <c r="G306">
        <v>27.239180000000001</v>
      </c>
      <c r="I306">
        <v>1.574759</v>
      </c>
      <c r="J306" s="5">
        <v>0.63501780272409936</v>
      </c>
      <c r="K306">
        <v>10.5</v>
      </c>
      <c r="L306">
        <v>0</v>
      </c>
      <c r="M306">
        <f t="shared" si="4"/>
        <v>0</v>
      </c>
    </row>
    <row r="307" spans="1:13" x14ac:dyDescent="0.3">
      <c r="A307">
        <v>50900</v>
      </c>
      <c r="B307" t="s">
        <v>200</v>
      </c>
      <c r="C307" t="s">
        <v>414</v>
      </c>
      <c r="D307">
        <v>2013</v>
      </c>
      <c r="E307">
        <v>3.51119</v>
      </c>
      <c r="F307">
        <v>434070</v>
      </c>
      <c r="G307">
        <v>27.239180000000001</v>
      </c>
      <c r="I307">
        <v>6.2836189999999998</v>
      </c>
      <c r="J307" s="5">
        <v>0.15914395828263936</v>
      </c>
      <c r="K307">
        <v>10.5</v>
      </c>
      <c r="L307">
        <v>42000000</v>
      </c>
      <c r="M307">
        <f t="shared" si="4"/>
        <v>4000000</v>
      </c>
    </row>
    <row r="308" spans="1:13" x14ac:dyDescent="0.3">
      <c r="A308">
        <v>52007</v>
      </c>
      <c r="B308" t="s">
        <v>400</v>
      </c>
      <c r="C308" t="s">
        <v>413</v>
      </c>
      <c r="D308">
        <v>2019</v>
      </c>
      <c r="E308">
        <v>2.9031899999999999</v>
      </c>
      <c r="F308">
        <v>28713.98</v>
      </c>
      <c r="G308">
        <v>27.239180000000001</v>
      </c>
      <c r="I308">
        <v>1.934474</v>
      </c>
      <c r="J308" s="5">
        <v>0.51693638684210796</v>
      </c>
      <c r="K308">
        <v>69.900000000000006</v>
      </c>
      <c r="L308">
        <v>0</v>
      </c>
      <c r="M308">
        <f t="shared" si="4"/>
        <v>0</v>
      </c>
    </row>
    <row r="309" spans="1:13" x14ac:dyDescent="0.3">
      <c r="A309">
        <v>52007</v>
      </c>
      <c r="B309" t="s">
        <v>400</v>
      </c>
      <c r="C309" t="s">
        <v>414</v>
      </c>
      <c r="D309">
        <v>2019</v>
      </c>
      <c r="E309">
        <v>2.9031899999999999</v>
      </c>
      <c r="F309">
        <v>29060.82</v>
      </c>
      <c r="G309">
        <v>27.239180000000001</v>
      </c>
      <c r="I309">
        <v>1.969732</v>
      </c>
      <c r="J309" s="5">
        <v>0.50768327874045804</v>
      </c>
      <c r="K309">
        <v>69.900000000000006</v>
      </c>
      <c r="L309">
        <v>0</v>
      </c>
      <c r="M309">
        <f t="shared" si="4"/>
        <v>0</v>
      </c>
    </row>
    <row r="310" spans="1:13" x14ac:dyDescent="0.3">
      <c r="A310">
        <v>52071</v>
      </c>
      <c r="B310" t="s">
        <v>401</v>
      </c>
      <c r="C310">
        <v>5</v>
      </c>
      <c r="D310">
        <v>2018</v>
      </c>
      <c r="E310">
        <v>2.0576340000000002</v>
      </c>
      <c r="F310">
        <v>402382.9</v>
      </c>
      <c r="G310">
        <v>25.530670000000001</v>
      </c>
      <c r="I310">
        <v>0.527976</v>
      </c>
      <c r="J310" s="5">
        <v>1.8940254860069397</v>
      </c>
      <c r="K310">
        <v>661.5</v>
      </c>
      <c r="L310">
        <v>0</v>
      </c>
      <c r="M310">
        <f t="shared" si="4"/>
        <v>0</v>
      </c>
    </row>
    <row r="311" spans="1:13" x14ac:dyDescent="0.3">
      <c r="A311">
        <v>56163</v>
      </c>
      <c r="B311" t="s">
        <v>402</v>
      </c>
      <c r="C311">
        <v>1</v>
      </c>
      <c r="D311">
        <v>2016</v>
      </c>
      <c r="E311">
        <v>2.5888049999999998</v>
      </c>
      <c r="F311">
        <v>23701.78</v>
      </c>
      <c r="G311">
        <v>21.925370000000001</v>
      </c>
      <c r="I311">
        <v>3.0384600000000002</v>
      </c>
      <c r="J311" s="5">
        <v>0.32911409069067882</v>
      </c>
      <c r="K311">
        <v>50</v>
      </c>
      <c r="L311">
        <v>0</v>
      </c>
      <c r="M311">
        <f t="shared" si="4"/>
        <v>0</v>
      </c>
    </row>
    <row r="312" spans="1:13" x14ac:dyDescent="0.3">
      <c r="A312">
        <v>56163</v>
      </c>
      <c r="B312" t="s">
        <v>402</v>
      </c>
      <c r="C312">
        <v>2</v>
      </c>
      <c r="D312">
        <v>2016</v>
      </c>
      <c r="E312">
        <v>2.5888049999999998</v>
      </c>
      <c r="F312">
        <v>14894.33</v>
      </c>
      <c r="G312">
        <v>21.925370000000001</v>
      </c>
      <c r="I312">
        <v>2.57416</v>
      </c>
      <c r="J312" s="5">
        <v>0.3884762407931131</v>
      </c>
      <c r="K312">
        <v>25</v>
      </c>
      <c r="L312">
        <v>0</v>
      </c>
      <c r="M312">
        <f t="shared" si="4"/>
        <v>0</v>
      </c>
    </row>
    <row r="313" spans="1:13" x14ac:dyDescent="0.3">
      <c r="A313">
        <v>56163</v>
      </c>
      <c r="B313" t="s">
        <v>402</v>
      </c>
      <c r="C313">
        <v>3</v>
      </c>
      <c r="D313">
        <v>2016</v>
      </c>
      <c r="E313">
        <v>2.5888049999999998</v>
      </c>
      <c r="F313">
        <v>47029.55</v>
      </c>
      <c r="G313">
        <v>21.925370000000001</v>
      </c>
      <c r="I313">
        <v>5.9905099999999996</v>
      </c>
      <c r="J313" s="5">
        <v>0.16693069538319777</v>
      </c>
      <c r="K313">
        <v>25</v>
      </c>
      <c r="L313">
        <v>0</v>
      </c>
      <c r="M313">
        <f t="shared" si="4"/>
        <v>0</v>
      </c>
    </row>
    <row r="314" spans="1:13" x14ac:dyDescent="0.3">
      <c r="A314">
        <v>56163</v>
      </c>
      <c r="B314" t="s">
        <v>402</v>
      </c>
      <c r="C314">
        <v>4</v>
      </c>
      <c r="D314">
        <v>2019</v>
      </c>
      <c r="E314">
        <v>2.5888049999999998</v>
      </c>
      <c r="F314">
        <v>48698.6</v>
      </c>
      <c r="G314">
        <v>21.925370000000001</v>
      </c>
      <c r="I314">
        <v>1.3628849999999999</v>
      </c>
      <c r="J314" s="5">
        <v>0.73373762276347609</v>
      </c>
      <c r="K314">
        <v>82</v>
      </c>
      <c r="L314">
        <v>0</v>
      </c>
      <c r="M314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Active plants</vt:lpstr>
      <vt:lpstr>Switched to natural gas </vt:lpstr>
      <vt:lpstr>Retired plants</vt:lpstr>
      <vt:lpstr>Retired generators</vt:lpstr>
    </vt:vector>
  </TitlesOfParts>
  <Company>University of Tennessee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Sims</dc:creator>
  <cp:lastModifiedBy>Charles Sims</cp:lastModifiedBy>
  <dcterms:created xsi:type="dcterms:W3CDTF">2026-06-03T16:47:17Z</dcterms:created>
  <dcterms:modified xsi:type="dcterms:W3CDTF">2026-06-04T19:11:43Z</dcterms:modified>
</cp:coreProperties>
</file>